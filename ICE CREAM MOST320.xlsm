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autoCompressPictures="0" defaultThemeVersion="164011"/>
  <mc:AlternateContent xmlns:mc="http://schemas.openxmlformats.org/markup-compatibility/2006">
    <mc:Choice Requires="x15">
      <x15ac:absPath xmlns:x15ac="http://schemas.microsoft.com/office/spreadsheetml/2010/11/ac" url="C:\Users\cstacey\Downloads\"/>
    </mc:Choice>
  </mc:AlternateContent>
  <bookViews>
    <workbookView xWindow="0" yWindow="0" windowWidth="20490" windowHeight="7650" tabRatio="728" activeTab="2"/>
  </bookViews>
  <sheets>
    <sheet name="Suppliers and Pricing" sheetId="1" r:id="rId1"/>
    <sheet name="Sales" sheetId="2" r:id="rId2"/>
    <sheet name="Inventory" sheetId="5" r:id="rId3"/>
    <sheet name="Analysis" sheetId="6" r:id="rId4"/>
    <sheet name="Compare Supplier Prices" sheetId="9" r:id="rId5"/>
  </sheets>
  <calcPr calcId="162913" concurrentCalc="0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T9" i="5" l="1"/>
  <c r="S9" i="5"/>
  <c r="B24" i="2"/>
  <c r="B25" i="2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D40" i="5"/>
  <c r="E40" i="5"/>
  <c r="F40" i="5"/>
  <c r="G40" i="5"/>
  <c r="H40" i="5"/>
  <c r="I40" i="5"/>
  <c r="J40" i="5"/>
  <c r="K40" i="5"/>
  <c r="L40" i="5"/>
  <c r="M40" i="5"/>
  <c r="N40" i="5"/>
  <c r="O40" i="5"/>
  <c r="P40" i="5"/>
  <c r="D39" i="5"/>
  <c r="E39" i="5"/>
  <c r="F39" i="5"/>
  <c r="G39" i="5"/>
  <c r="H39" i="5"/>
  <c r="I39" i="5"/>
  <c r="J39" i="5"/>
  <c r="K39" i="5"/>
  <c r="L39" i="5"/>
  <c r="M39" i="5"/>
  <c r="N39" i="5"/>
  <c r="O39" i="5"/>
  <c r="P39" i="5"/>
  <c r="Q39" i="5"/>
  <c r="R39" i="5"/>
  <c r="S39" i="5"/>
  <c r="T39" i="5"/>
  <c r="D54" i="5"/>
  <c r="E54" i="5"/>
  <c r="F54" i="5"/>
  <c r="G54" i="5"/>
  <c r="H54" i="5"/>
  <c r="I54" i="5"/>
  <c r="J54" i="5"/>
  <c r="K54" i="5"/>
  <c r="L54" i="5"/>
  <c r="M54" i="5"/>
  <c r="N54" i="5"/>
  <c r="O54" i="5"/>
  <c r="P54" i="5"/>
  <c r="Q54" i="5"/>
  <c r="R54" i="5"/>
  <c r="S54" i="5"/>
  <c r="T54" i="5"/>
  <c r="D55" i="5"/>
  <c r="E55" i="5"/>
  <c r="F55" i="5"/>
  <c r="G55" i="5"/>
  <c r="H55" i="5"/>
  <c r="I55" i="5"/>
  <c r="J55" i="5"/>
  <c r="K55" i="5"/>
  <c r="L55" i="5"/>
  <c r="M55" i="5"/>
  <c r="N55" i="5"/>
  <c r="O55" i="5"/>
  <c r="P55" i="5"/>
  <c r="Q55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D63" i="5"/>
  <c r="E63" i="5"/>
  <c r="F63" i="5"/>
  <c r="G63" i="5"/>
  <c r="H63" i="5"/>
  <c r="I63" i="5"/>
  <c r="J63" i="5"/>
  <c r="K63" i="5"/>
  <c r="L63" i="5"/>
  <c r="M63" i="5"/>
  <c r="N63" i="5"/>
  <c r="O63" i="5"/>
  <c r="P63" i="5"/>
  <c r="Q63" i="5"/>
  <c r="R63" i="5"/>
  <c r="S63" i="5"/>
  <c r="T63" i="5"/>
  <c r="D62" i="5"/>
  <c r="E62" i="5"/>
  <c r="F62" i="5"/>
  <c r="G62" i="5"/>
  <c r="H62" i="5"/>
  <c r="I62" i="5"/>
  <c r="J62" i="5"/>
  <c r="K62" i="5"/>
  <c r="L62" i="5"/>
  <c r="M62" i="5"/>
  <c r="N62" i="5"/>
  <c r="O62" i="5"/>
  <c r="P62" i="5"/>
  <c r="Q62" i="5"/>
  <c r="R62" i="5"/>
  <c r="S62" i="5"/>
  <c r="T62" i="5"/>
  <c r="D61" i="5"/>
  <c r="E61" i="5"/>
  <c r="F61" i="5"/>
  <c r="G61" i="5"/>
  <c r="H61" i="5"/>
  <c r="I61" i="5"/>
  <c r="J61" i="5"/>
  <c r="K61" i="5"/>
  <c r="L61" i="5"/>
  <c r="M61" i="5"/>
  <c r="N61" i="5"/>
  <c r="O61" i="5"/>
  <c r="P61" i="5"/>
  <c r="Q61" i="5"/>
  <c r="R61" i="5"/>
  <c r="S61" i="5"/>
  <c r="T61" i="5"/>
  <c r="D60" i="5"/>
  <c r="E60" i="5"/>
  <c r="F60" i="5"/>
  <c r="G60" i="5"/>
  <c r="H60" i="5"/>
  <c r="I60" i="5"/>
  <c r="J60" i="5"/>
  <c r="K60" i="5"/>
  <c r="L60" i="5"/>
  <c r="M60" i="5"/>
  <c r="N60" i="5"/>
  <c r="O60" i="5"/>
  <c r="P60" i="5"/>
  <c r="Q60" i="5"/>
  <c r="R60" i="5"/>
  <c r="S60" i="5"/>
  <c r="T60" i="5"/>
  <c r="D59" i="5"/>
  <c r="E59" i="5"/>
  <c r="F59" i="5"/>
  <c r="G59" i="5"/>
  <c r="H59" i="5"/>
  <c r="I59" i="5"/>
  <c r="J59" i="5"/>
  <c r="K59" i="5"/>
  <c r="L59" i="5"/>
  <c r="M59" i="5"/>
  <c r="N59" i="5"/>
  <c r="O59" i="5"/>
  <c r="P59" i="5"/>
  <c r="Q59" i="5"/>
  <c r="R59" i="5"/>
  <c r="S59" i="5"/>
  <c r="T59" i="5"/>
  <c r="D58" i="5"/>
  <c r="E58" i="5"/>
  <c r="F58" i="5"/>
  <c r="G58" i="5"/>
  <c r="H58" i="5"/>
  <c r="I58" i="5"/>
  <c r="J58" i="5"/>
  <c r="K58" i="5"/>
  <c r="L58" i="5"/>
  <c r="M58" i="5"/>
  <c r="N58" i="5"/>
  <c r="O58" i="5"/>
  <c r="P58" i="5"/>
  <c r="Q58" i="5"/>
  <c r="R58" i="5"/>
  <c r="S58" i="5"/>
  <c r="T58" i="5"/>
  <c r="D57" i="5"/>
  <c r="E57" i="5"/>
  <c r="F57" i="5"/>
  <c r="G57" i="5"/>
  <c r="H57" i="5"/>
  <c r="I57" i="5"/>
  <c r="J57" i="5"/>
  <c r="K57" i="5"/>
  <c r="L57" i="5"/>
  <c r="M57" i="5"/>
  <c r="N57" i="5"/>
  <c r="O57" i="5"/>
  <c r="P57" i="5"/>
  <c r="Q57" i="5"/>
  <c r="R57" i="5"/>
  <c r="S57" i="5"/>
  <c r="T57" i="5"/>
  <c r="D56" i="5"/>
  <c r="E56" i="5"/>
  <c r="F56" i="5"/>
  <c r="G56" i="5"/>
  <c r="H56" i="5"/>
  <c r="I56" i="5"/>
  <c r="J56" i="5"/>
  <c r="K56" i="5"/>
  <c r="L56" i="5"/>
  <c r="M56" i="5"/>
  <c r="N56" i="5"/>
  <c r="O56" i="5"/>
  <c r="P56" i="5"/>
  <c r="Q56" i="5"/>
  <c r="R56" i="5"/>
  <c r="S56" i="5"/>
  <c r="T56" i="5"/>
  <c r="R55" i="5"/>
  <c r="S55" i="5"/>
  <c r="T55" i="5"/>
  <c r="D48" i="5"/>
  <c r="E48" i="5"/>
  <c r="F48" i="5"/>
  <c r="G48" i="5"/>
  <c r="H48" i="5"/>
  <c r="I48" i="5"/>
  <c r="J48" i="5"/>
  <c r="K48" i="5"/>
  <c r="L48" i="5"/>
  <c r="M48" i="5"/>
  <c r="N48" i="5"/>
  <c r="O48" i="5"/>
  <c r="P48" i="5"/>
  <c r="Q48" i="5"/>
  <c r="R48" i="5"/>
  <c r="S48" i="5"/>
  <c r="T48" i="5"/>
  <c r="D47" i="5"/>
  <c r="E47" i="5"/>
  <c r="F47" i="5"/>
  <c r="G47" i="5"/>
  <c r="H47" i="5"/>
  <c r="I47" i="5"/>
  <c r="J47" i="5"/>
  <c r="K47" i="5"/>
  <c r="L47" i="5"/>
  <c r="M47" i="5"/>
  <c r="N47" i="5"/>
  <c r="O47" i="5"/>
  <c r="P47" i="5"/>
  <c r="Q47" i="5"/>
  <c r="R47" i="5"/>
  <c r="S47" i="5"/>
  <c r="T47" i="5"/>
  <c r="D46" i="5"/>
  <c r="E46" i="5"/>
  <c r="F46" i="5"/>
  <c r="G46" i="5"/>
  <c r="H46" i="5"/>
  <c r="I46" i="5"/>
  <c r="J46" i="5"/>
  <c r="K46" i="5"/>
  <c r="L46" i="5"/>
  <c r="M46" i="5"/>
  <c r="N46" i="5"/>
  <c r="O46" i="5"/>
  <c r="P46" i="5"/>
  <c r="Q46" i="5"/>
  <c r="R46" i="5"/>
  <c r="S46" i="5"/>
  <c r="T46" i="5"/>
  <c r="D45" i="5"/>
  <c r="E45" i="5"/>
  <c r="F45" i="5"/>
  <c r="G45" i="5"/>
  <c r="H45" i="5"/>
  <c r="I45" i="5"/>
  <c r="J45" i="5"/>
  <c r="K45" i="5"/>
  <c r="L45" i="5"/>
  <c r="M45" i="5"/>
  <c r="N45" i="5"/>
  <c r="O45" i="5"/>
  <c r="P45" i="5"/>
  <c r="Q45" i="5"/>
  <c r="R45" i="5"/>
  <c r="S45" i="5"/>
  <c r="T45" i="5"/>
  <c r="D44" i="5"/>
  <c r="E44" i="5"/>
  <c r="F44" i="5"/>
  <c r="G44" i="5"/>
  <c r="H44" i="5"/>
  <c r="I44" i="5"/>
  <c r="J44" i="5"/>
  <c r="K44" i="5"/>
  <c r="L44" i="5"/>
  <c r="M44" i="5"/>
  <c r="N44" i="5"/>
  <c r="O44" i="5"/>
  <c r="P44" i="5"/>
  <c r="Q44" i="5"/>
  <c r="R44" i="5"/>
  <c r="S44" i="5"/>
  <c r="T44" i="5"/>
  <c r="D43" i="5"/>
  <c r="E43" i="5"/>
  <c r="F43" i="5"/>
  <c r="G43" i="5"/>
  <c r="H43" i="5"/>
  <c r="I43" i="5"/>
  <c r="J43" i="5"/>
  <c r="K43" i="5"/>
  <c r="L43" i="5"/>
  <c r="M43" i="5"/>
  <c r="N43" i="5"/>
  <c r="O43" i="5"/>
  <c r="P43" i="5"/>
  <c r="Q43" i="5"/>
  <c r="R43" i="5"/>
  <c r="S43" i="5"/>
  <c r="T43" i="5"/>
  <c r="D42" i="5"/>
  <c r="E42" i="5"/>
  <c r="F42" i="5"/>
  <c r="G42" i="5"/>
  <c r="H42" i="5"/>
  <c r="I42" i="5"/>
  <c r="J42" i="5"/>
  <c r="K42" i="5"/>
  <c r="L42" i="5"/>
  <c r="M42" i="5"/>
  <c r="N42" i="5"/>
  <c r="O42" i="5"/>
  <c r="P42" i="5"/>
  <c r="Q42" i="5"/>
  <c r="R42" i="5"/>
  <c r="S42" i="5"/>
  <c r="T42" i="5"/>
  <c r="D41" i="5"/>
  <c r="E41" i="5"/>
  <c r="F41" i="5"/>
  <c r="G41" i="5"/>
  <c r="H41" i="5"/>
  <c r="I41" i="5"/>
  <c r="J41" i="5"/>
  <c r="K41" i="5"/>
  <c r="L41" i="5"/>
  <c r="M41" i="5"/>
  <c r="N41" i="5"/>
  <c r="O41" i="5"/>
  <c r="P41" i="5"/>
  <c r="Q41" i="5"/>
  <c r="R41" i="5"/>
  <c r="S41" i="5"/>
  <c r="T41" i="5"/>
  <c r="Q40" i="5"/>
  <c r="R40" i="5"/>
  <c r="S40" i="5"/>
  <c r="T40" i="5"/>
  <c r="R25" i="5"/>
  <c r="S25" i="5"/>
  <c r="T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S26" i="5"/>
  <c r="T26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S27" i="5"/>
  <c r="T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S28" i="5"/>
  <c r="T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S29" i="5"/>
  <c r="T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S30" i="5"/>
  <c r="T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S31" i="5"/>
  <c r="T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S32" i="5"/>
  <c r="T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S33" i="5"/>
  <c r="T33" i="5"/>
  <c r="S24" i="5"/>
  <c r="T24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AG19" i="2"/>
  <c r="AF19" i="2"/>
  <c r="AE19" i="2"/>
  <c r="AD19" i="2"/>
  <c r="AC19" i="2"/>
  <c r="AB19" i="2"/>
  <c r="AA19" i="2"/>
  <c r="Z19" i="2"/>
  <c r="Y19" i="2"/>
  <c r="X19" i="2"/>
  <c r="W19" i="2"/>
  <c r="V19" i="2"/>
  <c r="U19" i="2"/>
  <c r="T19" i="2"/>
  <c r="S19" i="2"/>
  <c r="R19" i="2"/>
  <c r="Q19" i="2"/>
  <c r="P19" i="2"/>
  <c r="O19" i="2"/>
  <c r="N19" i="2"/>
  <c r="M19" i="2"/>
  <c r="L19" i="2"/>
  <c r="K19" i="2"/>
  <c r="J19" i="2"/>
  <c r="I19" i="2"/>
  <c r="H19" i="2"/>
  <c r="G19" i="2"/>
  <c r="F19" i="2"/>
  <c r="E19" i="2"/>
  <c r="D19" i="2"/>
  <c r="AG34" i="2"/>
  <c r="AF34" i="2"/>
  <c r="AE34" i="2"/>
  <c r="AD34" i="2"/>
  <c r="AC34" i="2"/>
  <c r="AB34" i="2"/>
  <c r="AA34" i="2"/>
  <c r="Z34" i="2"/>
  <c r="Y34" i="2"/>
  <c r="X34" i="2"/>
  <c r="W34" i="2"/>
  <c r="V34" i="2"/>
  <c r="U34" i="2"/>
  <c r="T34" i="2"/>
  <c r="S34" i="2"/>
  <c r="R34" i="2"/>
  <c r="Q34" i="2"/>
  <c r="P34" i="2"/>
  <c r="O34" i="2"/>
  <c r="N34" i="2"/>
  <c r="M34" i="2"/>
  <c r="L34" i="2"/>
  <c r="K34" i="2"/>
  <c r="J34" i="2"/>
  <c r="I34" i="2"/>
  <c r="H34" i="2"/>
  <c r="G34" i="2"/>
  <c r="F34" i="2"/>
  <c r="E34" i="2"/>
  <c r="D34" i="2"/>
  <c r="AG49" i="2"/>
  <c r="AF49" i="2"/>
  <c r="AE49" i="2"/>
  <c r="AD49" i="2"/>
  <c r="AC49" i="2"/>
  <c r="AB49" i="2"/>
  <c r="AA49" i="2"/>
  <c r="Z49" i="2"/>
  <c r="Y49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W64" i="2"/>
  <c r="X64" i="2"/>
  <c r="Y64" i="2"/>
  <c r="Z64" i="2"/>
  <c r="AA64" i="2"/>
  <c r="AB64" i="2"/>
  <c r="AC64" i="2"/>
  <c r="AD64" i="2"/>
  <c r="AE64" i="2"/>
  <c r="AF64" i="2"/>
  <c r="AG64" i="2"/>
  <c r="P64" i="2"/>
  <c r="Q64" i="2"/>
  <c r="R64" i="2"/>
  <c r="S64" i="2"/>
  <c r="T64" i="2"/>
  <c r="U64" i="2"/>
  <c r="V64" i="2"/>
  <c r="I64" i="2"/>
  <c r="J64" i="2"/>
  <c r="K64" i="2"/>
  <c r="L64" i="2"/>
  <c r="M64" i="2"/>
  <c r="N64" i="2"/>
  <c r="O64" i="2"/>
  <c r="F64" i="2"/>
  <c r="G64" i="2"/>
  <c r="H64" i="2"/>
  <c r="E64" i="2"/>
  <c r="D64" i="2"/>
  <c r="C9" i="2"/>
  <c r="C10" i="2"/>
  <c r="C11" i="2"/>
  <c r="C12" i="2"/>
  <c r="C13" i="2"/>
  <c r="C14" i="2"/>
  <c r="C15" i="2"/>
  <c r="C16" i="2"/>
  <c r="C17" i="2"/>
  <c r="C18" i="2"/>
  <c r="B75" i="5"/>
  <c r="C55" i="2"/>
  <c r="C54" i="2"/>
  <c r="C56" i="2"/>
  <c r="C57" i="2"/>
  <c r="C58" i="2"/>
  <c r="C59" i="2"/>
  <c r="C60" i="2"/>
  <c r="C61" i="2"/>
  <c r="C62" i="2"/>
  <c r="C63" i="2"/>
  <c r="AG65" i="2"/>
  <c r="Y65" i="2"/>
  <c r="C40" i="2"/>
  <c r="C39" i="2"/>
  <c r="C41" i="2"/>
  <c r="C42" i="2"/>
  <c r="C43" i="2"/>
  <c r="C44" i="2"/>
  <c r="C45" i="2"/>
  <c r="C46" i="2"/>
  <c r="C47" i="2"/>
  <c r="C48" i="2"/>
  <c r="AE50" i="2"/>
  <c r="C25" i="2"/>
  <c r="C26" i="2"/>
  <c r="C27" i="2"/>
  <c r="C28" i="2"/>
  <c r="C29" i="2"/>
  <c r="C30" i="2"/>
  <c r="C31" i="2"/>
  <c r="C32" i="2"/>
  <c r="C33" i="2"/>
  <c r="C24" i="2"/>
  <c r="D68" i="5"/>
  <c r="D78" i="5"/>
  <c r="D77" i="5"/>
  <c r="D76" i="5"/>
  <c r="D75" i="5"/>
  <c r="D74" i="5"/>
  <c r="D73" i="5"/>
  <c r="D72" i="5"/>
  <c r="D71" i="5"/>
  <c r="D70" i="5"/>
  <c r="D69" i="5"/>
  <c r="C91" i="5"/>
  <c r="D91" i="5"/>
  <c r="D90" i="5"/>
  <c r="D89" i="5"/>
  <c r="D88" i="5"/>
  <c r="D87" i="5"/>
  <c r="D86" i="5"/>
  <c r="D85" i="5"/>
  <c r="D84" i="5"/>
  <c r="D83" i="5"/>
  <c r="D82" i="5"/>
  <c r="D81" i="5"/>
  <c r="B91" i="5"/>
  <c r="B90" i="5"/>
  <c r="B89" i="5"/>
  <c r="B88" i="5"/>
  <c r="B87" i="5"/>
  <c r="B86" i="5"/>
  <c r="B85" i="5"/>
  <c r="B84" i="5"/>
  <c r="B83" i="5"/>
  <c r="B82" i="5"/>
  <c r="B78" i="5"/>
  <c r="B77" i="5"/>
  <c r="B76" i="5"/>
  <c r="B74" i="5"/>
  <c r="B73" i="5"/>
  <c r="B72" i="5"/>
  <c r="B71" i="5"/>
  <c r="B70" i="5"/>
  <c r="B69" i="5"/>
  <c r="C40" i="1"/>
  <c r="D40" i="1"/>
  <c r="E40" i="1"/>
  <c r="F40" i="1"/>
  <c r="C41" i="1"/>
  <c r="D41" i="1"/>
  <c r="E41" i="1"/>
  <c r="F41" i="1"/>
  <c r="C42" i="1"/>
  <c r="D42" i="1"/>
  <c r="E42" i="1"/>
  <c r="F42" i="1"/>
  <c r="C43" i="1"/>
  <c r="D43" i="1"/>
  <c r="E43" i="1"/>
  <c r="F43" i="1"/>
  <c r="C44" i="1"/>
  <c r="D44" i="1"/>
  <c r="E44" i="1"/>
  <c r="F44" i="1"/>
  <c r="C45" i="1"/>
  <c r="D45" i="1"/>
  <c r="E45" i="1"/>
  <c r="F45" i="1"/>
  <c r="C46" i="1"/>
  <c r="D46" i="1"/>
  <c r="E46" i="1"/>
  <c r="F46" i="1"/>
  <c r="C47" i="1"/>
  <c r="D47" i="1"/>
  <c r="E47" i="1"/>
  <c r="F47" i="1"/>
  <c r="C48" i="1"/>
  <c r="D48" i="1"/>
  <c r="E48" i="1"/>
  <c r="F48" i="1"/>
  <c r="D39" i="1"/>
  <c r="E39" i="1"/>
  <c r="F39" i="1"/>
  <c r="C39" i="1"/>
  <c r="B63" i="5"/>
  <c r="B62" i="5"/>
  <c r="B61" i="5"/>
  <c r="B60" i="5"/>
  <c r="B59" i="5"/>
  <c r="B58" i="5"/>
  <c r="B57" i="5"/>
  <c r="B56" i="5"/>
  <c r="B55" i="5"/>
  <c r="B54" i="5"/>
  <c r="B48" i="5"/>
  <c r="B47" i="5"/>
  <c r="B46" i="5"/>
  <c r="B45" i="5"/>
  <c r="B44" i="5"/>
  <c r="B43" i="5"/>
  <c r="B42" i="5"/>
  <c r="B41" i="5"/>
  <c r="B40" i="5"/>
  <c r="B39" i="5"/>
  <c r="B33" i="5"/>
  <c r="B32" i="5"/>
  <c r="B31" i="5"/>
  <c r="B30" i="5"/>
  <c r="B29" i="5"/>
  <c r="B28" i="5"/>
  <c r="B27" i="5"/>
  <c r="B26" i="5"/>
  <c r="B25" i="5"/>
  <c r="B24" i="5"/>
  <c r="B18" i="5"/>
  <c r="B17" i="5"/>
  <c r="B16" i="5"/>
  <c r="B15" i="5"/>
  <c r="B14" i="5"/>
  <c r="B13" i="5"/>
  <c r="B12" i="5"/>
  <c r="B11" i="5"/>
  <c r="B10" i="5"/>
  <c r="B9" i="5"/>
  <c r="B63" i="2"/>
  <c r="B62" i="2"/>
  <c r="B61" i="2"/>
  <c r="B60" i="2"/>
  <c r="B59" i="2"/>
  <c r="B58" i="2"/>
  <c r="B57" i="2"/>
  <c r="B56" i="2"/>
  <c r="B55" i="2"/>
  <c r="B54" i="2"/>
  <c r="B48" i="2"/>
  <c r="B47" i="2"/>
  <c r="B46" i="2"/>
  <c r="B45" i="2"/>
  <c r="B44" i="2"/>
  <c r="B43" i="2"/>
  <c r="B42" i="2"/>
  <c r="B41" i="2"/>
  <c r="B40" i="2"/>
  <c r="B39" i="2"/>
  <c r="B33" i="2"/>
  <c r="B32" i="2"/>
  <c r="B31" i="2"/>
  <c r="B30" i="2"/>
  <c r="B29" i="2"/>
  <c r="B28" i="2"/>
  <c r="B27" i="2"/>
  <c r="B26" i="2"/>
  <c r="B18" i="2"/>
  <c r="B17" i="2"/>
  <c r="B16" i="2"/>
  <c r="B15" i="2"/>
  <c r="B14" i="2"/>
  <c r="B13" i="2"/>
  <c r="B12" i="2"/>
  <c r="B11" i="2"/>
  <c r="B10" i="2"/>
  <c r="B9" i="2"/>
  <c r="AE35" i="2"/>
  <c r="AA35" i="2"/>
  <c r="W35" i="2"/>
  <c r="S35" i="2"/>
  <c r="O35" i="2"/>
  <c r="K35" i="2"/>
  <c r="G35" i="2"/>
  <c r="AD35" i="2"/>
  <c r="Z35" i="2"/>
  <c r="V35" i="2"/>
  <c r="R35" i="2"/>
  <c r="N35" i="2"/>
  <c r="J35" i="2"/>
  <c r="F35" i="2"/>
  <c r="U20" i="2"/>
  <c r="V20" i="2"/>
  <c r="Z20" i="2"/>
  <c r="AD20" i="2"/>
  <c r="L20" i="2"/>
  <c r="P20" i="2"/>
  <c r="T20" i="2"/>
  <c r="I20" i="2"/>
  <c r="J20" i="2"/>
  <c r="S20" i="2"/>
  <c r="N20" i="2"/>
  <c r="AE20" i="2"/>
  <c r="Y20" i="2"/>
  <c r="E35" i="2"/>
  <c r="M35" i="2"/>
  <c r="U35" i="2"/>
  <c r="AC35" i="2"/>
  <c r="G50" i="2"/>
  <c r="O50" i="2"/>
  <c r="W50" i="2"/>
  <c r="I65" i="2"/>
  <c r="Q65" i="2"/>
  <c r="H20" i="2"/>
  <c r="R20" i="2"/>
  <c r="M20" i="2"/>
  <c r="AG50" i="2"/>
  <c r="AC50" i="2"/>
  <c r="Y50" i="2"/>
  <c r="U50" i="2"/>
  <c r="Q50" i="2"/>
  <c r="M50" i="2"/>
  <c r="I50" i="2"/>
  <c r="E50" i="2"/>
  <c r="AF50" i="2"/>
  <c r="AB50" i="2"/>
  <c r="X50" i="2"/>
  <c r="T50" i="2"/>
  <c r="P50" i="2"/>
  <c r="L50" i="2"/>
  <c r="H50" i="2"/>
  <c r="D50" i="2"/>
  <c r="AC20" i="2"/>
  <c r="X20" i="2"/>
  <c r="H35" i="2"/>
  <c r="P35" i="2"/>
  <c r="X35" i="2"/>
  <c r="AF35" i="2"/>
  <c r="J50" i="2"/>
  <c r="R50" i="2"/>
  <c r="Z50" i="2"/>
  <c r="D65" i="2"/>
  <c r="L65" i="2"/>
  <c r="T65" i="2"/>
  <c r="AB65" i="2"/>
  <c r="AF65" i="2"/>
  <c r="AE65" i="2"/>
  <c r="AA65" i="2"/>
  <c r="W65" i="2"/>
  <c r="S65" i="2"/>
  <c r="O65" i="2"/>
  <c r="K65" i="2"/>
  <c r="G65" i="2"/>
  <c r="AD65" i="2"/>
  <c r="Z65" i="2"/>
  <c r="V65" i="2"/>
  <c r="R65" i="2"/>
  <c r="N65" i="2"/>
  <c r="J65" i="2"/>
  <c r="F65" i="2"/>
  <c r="D20" i="2"/>
  <c r="E20" i="2"/>
  <c r="G20" i="2"/>
  <c r="Q20" i="2"/>
  <c r="AG20" i="2"/>
  <c r="AB20" i="2"/>
  <c r="W20" i="2"/>
  <c r="I35" i="2"/>
  <c r="Q35" i="2"/>
  <c r="Y35" i="2"/>
  <c r="AG35" i="2"/>
  <c r="K50" i="2"/>
  <c r="S50" i="2"/>
  <c r="AA50" i="2"/>
  <c r="E65" i="2"/>
  <c r="M65" i="2"/>
  <c r="U65" i="2"/>
  <c r="AC65" i="2"/>
  <c r="K20" i="2"/>
  <c r="F20" i="2"/>
  <c r="O20" i="2"/>
  <c r="AF20" i="2"/>
  <c r="AA20" i="2"/>
  <c r="D35" i="2"/>
  <c r="L35" i="2"/>
  <c r="T35" i="2"/>
  <c r="AB35" i="2"/>
  <c r="F50" i="2"/>
  <c r="N50" i="2"/>
  <c r="V50" i="2"/>
  <c r="AD50" i="2"/>
  <c r="H65" i="2"/>
  <c r="P65" i="2"/>
  <c r="X65" i="2"/>
</calcChain>
</file>

<file path=xl/sharedStrings.xml><?xml version="1.0" encoding="utf-8"?>
<sst xmlns="http://schemas.openxmlformats.org/spreadsheetml/2006/main" count="226" uniqueCount="54">
  <si>
    <t>Delta Distributors</t>
  </si>
  <si>
    <t>JML Ice Cream Distribution</t>
  </si>
  <si>
    <t>Bekers Dairy</t>
  </si>
  <si>
    <t>Oak Ice Cream Distributors</t>
  </si>
  <si>
    <t>Vanilla</t>
  </si>
  <si>
    <t>Chocolate</t>
  </si>
  <si>
    <t>Strawberry</t>
  </si>
  <si>
    <t>Cookies and Cream</t>
  </si>
  <si>
    <t>Flavor</t>
  </si>
  <si>
    <t>Mint Chocolate Chip</t>
  </si>
  <si>
    <t>Mint</t>
  </si>
  <si>
    <t>Rocky Road</t>
  </si>
  <si>
    <t>Fudge Brownie</t>
  </si>
  <si>
    <t>Reese's Peanut Butter Cup</t>
  </si>
  <si>
    <t>West loop</t>
  </si>
  <si>
    <t>***Prices are based on "rand" formula***</t>
  </si>
  <si>
    <t>Sales Per Location</t>
  </si>
  <si>
    <t>Inventory Levels Per Location</t>
  </si>
  <si>
    <t>Beginning Balance</t>
  </si>
  <si>
    <t>Current Supplier Price Levels</t>
  </si>
  <si>
    <t>Ice Cream Shop Pricing</t>
  </si>
  <si>
    <t>Roger's Park</t>
  </si>
  <si>
    <t>Wrigleyville</t>
  </si>
  <si>
    <t>River North</t>
  </si>
  <si>
    <t>West Loop</t>
  </si>
  <si>
    <t>***Quoted Prices are per gallon***</t>
  </si>
  <si>
    <t>***One gallon yields 16 scoops***</t>
  </si>
  <si>
    <t>***Based on 2 scoops per item, we sell 8 items per gallon of ice cream</t>
  </si>
  <si>
    <t>Ice Cream Shop Margins</t>
  </si>
  <si>
    <t>Minimum Inventory Levels (gallons)</t>
  </si>
  <si>
    <t>Price/Unit</t>
  </si>
  <si>
    <t>Double Chocolate</t>
  </si>
  <si>
    <t>Warning threshold Inventory Levels (gallons)</t>
  </si>
  <si>
    <t>Last Updated:</t>
  </si>
  <si>
    <t>Wednesday</t>
  </si>
  <si>
    <t>Thursday</t>
  </si>
  <si>
    <t>Friday</t>
  </si>
  <si>
    <t>Saturday</t>
  </si>
  <si>
    <t>Sunday</t>
  </si>
  <si>
    <t>Monday</t>
  </si>
  <si>
    <t>Tuesday</t>
  </si>
  <si>
    <t>Total Units</t>
  </si>
  <si>
    <t>Total $</t>
  </si>
  <si>
    <t>***Our stores only sell one size ice cream serving (2 scoops)</t>
  </si>
  <si>
    <t>All amounts in gallons, rounded down to nearest gallon; all inventories as of end of day on date</t>
  </si>
  <si>
    <t>Running low</t>
  </si>
  <si>
    <t>Order received on date</t>
  </si>
  <si>
    <t>New orders come in 30 gallon amounts</t>
  </si>
  <si>
    <t>Name:</t>
  </si>
  <si>
    <t>Analysis:</t>
  </si>
  <si>
    <t>Flavor:</t>
  </si>
  <si>
    <t xml:space="preserve"> </t>
  </si>
  <si>
    <t>Location:</t>
  </si>
  <si>
    <t>Inventory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</si>
</sst>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(&quot;$&quot;* #,##0.00_);_(&quot;$&quot;* \(#,##0.00\);_(&quot;$&quot;* &quot;-&quot;??_);_(@_)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BBF3BD"/>
        <bgColor indexed="64"/>
      </patternFill>
    </fill>
  </fills>
  <borders count="1">
    <border>
      <left/>
      <right/>
      <top/>
      <bottom/>
      <diagonal/>
    </border>
  </borders>
  <cellStyleXfs count="77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27">
    <xf numFmtId="0" fontId="0" fillId="0" borderId="0" xfId="0"/>
    <xf numFmtId="14" fontId="0" fillId="0" borderId="0" xfId="0" applyNumberFormat="1"/>
    <xf numFmtId="0" fontId="1" fillId="0" borderId="0" xfId="0" applyFont="1" applyAlignment="1">
      <alignment horizontal="center"/>
    </xf>
    <xf numFmtId="44" fontId="0" fillId="0" borderId="0" xfId="0" applyNumberFormat="1"/>
    <xf numFmtId="0" fontId="1" fillId="0" borderId="0" xfId="0" applyFont="1"/>
    <xf numFmtId="0" fontId="4" fillId="0" borderId="0" xfId="0" applyFont="1" applyAlignment="1"/>
    <xf numFmtId="0" fontId="1" fillId="0" borderId="0" xfId="0" applyFont="1" applyAlignment="1"/>
    <xf numFmtId="49" fontId="2" fillId="0" borderId="0" xfId="0" applyNumberFormat="1" applyFont="1" applyAlignment="1">
      <alignment vertical="center"/>
    </xf>
    <xf numFmtId="17" fontId="0" fillId="0" borderId="0" xfId="0" applyNumberFormat="1" applyAlignment="1"/>
    <xf numFmtId="0" fontId="0" fillId="0" borderId="0" xfId="0" applyAlignment="1"/>
    <xf numFmtId="0" fontId="0" fillId="2" borderId="0" xfId="0" applyFill="1"/>
    <xf numFmtId="0" fontId="0" fillId="3" borderId="0" xfId="0" applyFill="1"/>
    <xf numFmtId="0" fontId="0" fillId="0" borderId="0" xfId="0" applyFont="1" applyAlignment="1"/>
    <xf numFmtId="44" fontId="0" fillId="2" borderId="0" xfId="0" applyNumberFormat="1" applyFill="1"/>
    <xf numFmtId="0" fontId="8" fillId="4" borderId="0" xfId="0" applyFont="1" applyFill="1"/>
    <xf numFmtId="0" fontId="9" fillId="5" borderId="0" xfId="0" applyFont="1" applyFill="1" applyAlignment="1">
      <alignment wrapText="1"/>
    </xf>
    <xf numFmtId="14" fontId="1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3" fillId="0" borderId="0" xfId="0" applyFont="1" applyAlignment="1">
      <alignment horizontal="center"/>
    </xf>
    <xf numFmtId="49" fontId="2" fillId="0" borderId="0" xfId="0" applyNumberFormat="1" applyFont="1" applyAlignment="1">
      <alignment horizontal="center" vertical="center"/>
    </xf>
    <xf numFmtId="17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horizontal="center" vertical="center" wrapText="1"/>
    </xf>
    <xf numFmtId="49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center" wrapText="1"/>
    </xf>
  </cellXfs>
  <cellStyles count="7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Normal" xfId="0" builtinId="0"/>
  </cellStyles>
  <dxfs count="10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</dxfs>
  <tableStyles count="0" defaultTableStyle="TableStyleMedium2" defaultPivotStyle="PivotStyleLight16"/>
  <colors>
    <mruColors>
      <color rgb="FFBBF3BD"/>
      <color rgb="FF90E28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Analysis!$B$7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Analysis!$C$6:$S$6</c:f>
              <c:numCache>
                <c:formatCode>m/d/yyyy</c:formatCode>
                <c:ptCount val="17"/>
              </c:numCache>
            </c:numRef>
          </c:cat>
          <c:val>
            <c:numRef>
              <c:f>Analysis!$C$7:$S$7</c:f>
              <c:numCache>
                <c:formatCode>General</c:formatCode>
                <c:ptCount val="1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1D-44A7-A29F-24F597CC44C7}"/>
            </c:ext>
          </c:extLst>
        </c:ser>
        <c:ser>
          <c:idx val="1"/>
          <c:order val="1"/>
          <c:tx>
            <c:strRef>
              <c:f>Analysis!$B$8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Analysis!$C$6:$S$6</c:f>
              <c:numCache>
                <c:formatCode>m/d/yyyy</c:formatCode>
                <c:ptCount val="17"/>
              </c:numCache>
            </c:numRef>
          </c:cat>
          <c:val>
            <c:numRef>
              <c:f>Analysis!$C$8:$S$8</c:f>
              <c:numCache>
                <c:formatCode>_("$"* #,##0.00_);_("$"* \(#,##0.00\);_("$"* "-"??_);_(@_)</c:formatCode>
                <c:ptCount val="1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1D-44A7-A29F-24F597CC44C7}"/>
            </c:ext>
          </c:extLst>
        </c:ser>
        <c:ser>
          <c:idx val="2"/>
          <c:order val="2"/>
          <c:tx>
            <c:strRef>
              <c:f>Analysis!$B$9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Analysis!$C$6:$S$6</c:f>
              <c:numCache>
                <c:formatCode>m/d/yyyy</c:formatCode>
                <c:ptCount val="17"/>
              </c:numCache>
            </c:numRef>
          </c:cat>
          <c:val>
            <c:numRef>
              <c:f>Analysis!$C$9:$S$9</c:f>
              <c:numCache>
                <c:formatCode>_("$"* #,##0.00_);_("$"* \(#,##0.00\);_("$"* "-"??_);_(@_)</c:formatCode>
                <c:ptCount val="1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B1D-44A7-A29F-24F597CC44C7}"/>
            </c:ext>
          </c:extLst>
        </c:ser>
        <c:ser>
          <c:idx val="3"/>
          <c:order val="3"/>
          <c:tx>
            <c:strRef>
              <c:f>Analysis!$B$10</c:f>
              <c:strCache>
                <c:ptCount val="1"/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Analysis!$C$6:$S$6</c:f>
              <c:numCache>
                <c:formatCode>m/d/yyyy</c:formatCode>
                <c:ptCount val="17"/>
              </c:numCache>
            </c:numRef>
          </c:cat>
          <c:val>
            <c:numRef>
              <c:f>Analysis!$C$10:$S$10</c:f>
              <c:numCache>
                <c:formatCode>_("$"* #,##0.00_);_("$"* \(#,##0.00\);_("$"* "-"??_);_(@_)</c:formatCode>
                <c:ptCount val="1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B1D-44A7-A29F-24F597CC44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453384592"/>
        <c:axId val="-453382272"/>
      </c:lineChart>
      <c:catAx>
        <c:axId val="-4533845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53382272"/>
        <c:crosses val="autoZero"/>
        <c:auto val="1"/>
        <c:lblAlgn val="ctr"/>
        <c:lblOffset val="100"/>
        <c:noMultiLvlLbl val="1"/>
      </c:catAx>
      <c:valAx>
        <c:axId val="-453382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53384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Analysis!$B$7</c:f>
              <c:strCache>
                <c:ptCount val="1"/>
              </c:strCache>
            </c:strRef>
          </c:tx>
          <c:marker>
            <c:symbol val="none"/>
          </c:marker>
          <c:cat>
            <c:numRef>
              <c:f>Analysis!$C$6:$S$6</c:f>
              <c:numCache>
                <c:formatCode>m/d/yyyy</c:formatCode>
                <c:ptCount val="17"/>
              </c:numCache>
            </c:numRef>
          </c:cat>
          <c:val>
            <c:numRef>
              <c:f>Analysis!$C$7:$S$7</c:f>
              <c:numCache>
                <c:formatCode>General</c:formatCode>
                <c:ptCount val="1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3A4-4650-A72F-48E49D15FD5C}"/>
            </c:ext>
          </c:extLst>
        </c:ser>
        <c:ser>
          <c:idx val="1"/>
          <c:order val="1"/>
          <c:tx>
            <c:strRef>
              <c:f>Analysis!$B$8</c:f>
              <c:strCache>
                <c:ptCount val="1"/>
              </c:strCache>
            </c:strRef>
          </c:tx>
          <c:marker>
            <c:symbol val="none"/>
          </c:marker>
          <c:cat>
            <c:numRef>
              <c:f>Analysis!$C$6:$S$6</c:f>
              <c:numCache>
                <c:formatCode>m/d/yyyy</c:formatCode>
                <c:ptCount val="17"/>
              </c:numCache>
            </c:numRef>
          </c:cat>
          <c:val>
            <c:numRef>
              <c:f>Analysis!$C$8:$S$8</c:f>
              <c:numCache>
                <c:formatCode>_("$"* #,##0.00_);_("$"* \(#,##0.00\);_("$"* "-"??_);_(@_)</c:formatCode>
                <c:ptCount val="1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3A4-4650-A72F-48E49D15FD5C}"/>
            </c:ext>
          </c:extLst>
        </c:ser>
        <c:ser>
          <c:idx val="2"/>
          <c:order val="2"/>
          <c:tx>
            <c:strRef>
              <c:f>Analysis!$B$9</c:f>
              <c:strCache>
                <c:ptCount val="1"/>
              </c:strCache>
            </c:strRef>
          </c:tx>
          <c:marker>
            <c:symbol val="none"/>
          </c:marker>
          <c:cat>
            <c:numRef>
              <c:f>Analysis!$C$6:$S$6</c:f>
              <c:numCache>
                <c:formatCode>m/d/yyyy</c:formatCode>
                <c:ptCount val="17"/>
              </c:numCache>
            </c:numRef>
          </c:cat>
          <c:val>
            <c:numRef>
              <c:f>Analysis!$C$9:$S$9</c:f>
              <c:numCache>
                <c:formatCode>_("$"* #,##0.00_);_("$"* \(#,##0.00\);_("$"* "-"??_);_(@_)</c:formatCode>
                <c:ptCount val="1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3A4-4650-A72F-48E49D15FD5C}"/>
            </c:ext>
          </c:extLst>
        </c:ser>
        <c:ser>
          <c:idx val="3"/>
          <c:order val="3"/>
          <c:tx>
            <c:strRef>
              <c:f>Analysis!$B$10</c:f>
              <c:strCache>
                <c:ptCount val="1"/>
              </c:strCache>
            </c:strRef>
          </c:tx>
          <c:marker>
            <c:symbol val="none"/>
          </c:marker>
          <c:cat>
            <c:numRef>
              <c:f>Analysis!$C$6:$S$6</c:f>
              <c:numCache>
                <c:formatCode>m/d/yyyy</c:formatCode>
                <c:ptCount val="17"/>
              </c:numCache>
            </c:numRef>
          </c:cat>
          <c:val>
            <c:numRef>
              <c:f>Analysis!$C$10:$S$10</c:f>
              <c:numCache>
                <c:formatCode>_("$"* #,##0.00_);_("$"* \(#,##0.00\);_("$"* "-"??_);_(@_)</c:formatCode>
                <c:ptCount val="1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3A4-4650-A72F-48E49D15FD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2152456"/>
        <c:axId val="392149504"/>
      </c:lineChart>
      <c:catAx>
        <c:axId val="3921524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92149504"/>
        <c:crosses val="autoZero"/>
        <c:auto val="1"/>
        <c:lblAlgn val="ctr"/>
        <c:lblOffset val="100"/>
        <c:noMultiLvlLbl val="0"/>
      </c:catAx>
      <c:valAx>
        <c:axId val="3921495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921524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Price Per Gallon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'Suppliers and Pricing'!$B$11</c:f>
              <c:strCache>
                <c:ptCount val="1"/>
                <c:pt idx="0">
                  <c:v>Double Chocolate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'Suppliers and Pricing'!$C$4:$F$4</c:f>
              <c:strCache>
                <c:ptCount val="4"/>
                <c:pt idx="0">
                  <c:v>Delta Distributors</c:v>
                </c:pt>
                <c:pt idx="1">
                  <c:v>JML Ice Cream Distribution</c:v>
                </c:pt>
                <c:pt idx="2">
                  <c:v>Bekers Dairy</c:v>
                </c:pt>
                <c:pt idx="3">
                  <c:v>Oak Ice Cream Distributors</c:v>
                </c:pt>
              </c:strCache>
            </c:strRef>
          </c:cat>
          <c:val>
            <c:numRef>
              <c:f>'Suppliers and Pricing'!$C$11:$F$11</c:f>
              <c:numCache>
                <c:formatCode>_("$"* #,##0.00_);_("$"* \(#,##0.00\);_("$"* "-"??_);_(@_)</c:formatCode>
                <c:ptCount val="4"/>
                <c:pt idx="0">
                  <c:v>9.4893305860494603</c:v>
                </c:pt>
                <c:pt idx="1">
                  <c:v>9.0040395314397266</c:v>
                </c:pt>
                <c:pt idx="2">
                  <c:v>9.5417555129021547</c:v>
                </c:pt>
                <c:pt idx="3">
                  <c:v>9.8631073290135678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4A-4B65-B14C-6A96E86B307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626760344"/>
        <c:axId val="626761328"/>
      </c:barChart>
      <c:catAx>
        <c:axId val="626760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626761328"/>
        <c:crosses val="autoZero"/>
        <c:auto val="1"/>
        <c:lblAlgn val="ctr"/>
        <c:lblOffset val="100"/>
        <c:noMultiLvlLbl val="0"/>
      </c:catAx>
      <c:valAx>
        <c:axId val="626761328"/>
        <c:scaling>
          <c:orientation val="minMax"/>
        </c:scaling>
        <c:delete val="0"/>
        <c:axPos val="l"/>
        <c:numFmt formatCode="_(&quot;$&quot;* #,##0.00_);_(&quot;$&quot;* \(#,##0.00\);_(&quot;$&quot;* &quot;-&quot;??_);_(@_)" sourceLinked="1"/>
        <c:majorTickMark val="none"/>
        <c:minorTickMark val="none"/>
        <c:tickLblPos val="nextTo"/>
        <c:crossAx val="626760344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581025</xdr:colOff>
          <xdr:row>8</xdr:row>
          <xdr:rowOff>180975</xdr:rowOff>
        </xdr:from>
        <xdr:to>
          <xdr:col>11</xdr:col>
          <xdr:colOff>85725</xdr:colOff>
          <xdr:row>14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520700</xdr:colOff>
      <xdr:row>10</xdr:row>
      <xdr:rowOff>127000</xdr:rowOff>
    </xdr:from>
    <xdr:to>
      <xdr:col>13</xdr:col>
      <xdr:colOff>139700</xdr:colOff>
      <xdr:row>30</xdr:row>
      <xdr:rowOff>127000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177800</xdr:colOff>
      <xdr:row>10</xdr:row>
      <xdr:rowOff>127000</xdr:rowOff>
    </xdr:from>
    <xdr:to>
      <xdr:col>15</xdr:col>
      <xdr:colOff>31750</xdr:colOff>
      <xdr:row>30</xdr:row>
      <xdr:rowOff>127000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590550</xdr:colOff>
      <xdr:row>9</xdr:row>
      <xdr:rowOff>0</xdr:rowOff>
    </xdr:from>
    <xdr:to>
      <xdr:col>10</xdr:col>
      <xdr:colOff>57150</xdr:colOff>
      <xdr:row>25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Suppliers"/>
  <dimension ref="A1:H48"/>
  <sheetViews>
    <sheetView zoomScale="85" zoomScaleNormal="85" zoomScalePageLayoutView="85" workbookViewId="0">
      <selection activeCell="B5" sqref="B5"/>
    </sheetView>
  </sheetViews>
  <sheetFormatPr defaultColWidth="8.85546875" defaultRowHeight="15" x14ac:dyDescent="0.25"/>
  <cols>
    <col min="1" max="1" width="3" customWidth="1"/>
    <col min="2" max="2" width="24.42578125" bestFit="1" customWidth="1"/>
    <col min="3" max="3" width="16.42578125" bestFit="1" customWidth="1"/>
    <col min="4" max="4" width="23.140625" customWidth="1"/>
    <col min="5" max="5" width="12" bestFit="1" customWidth="1"/>
    <col min="6" max="6" width="22.85546875" customWidth="1"/>
  </cols>
  <sheetData>
    <row r="1" spans="1:8" x14ac:dyDescent="0.25">
      <c r="A1" t="s">
        <v>51</v>
      </c>
    </row>
    <row r="2" spans="1:8" ht="21" x14ac:dyDescent="0.35">
      <c r="B2" s="18" t="s">
        <v>19</v>
      </c>
      <c r="C2" s="18"/>
      <c r="D2" s="18"/>
      <c r="E2" s="18"/>
      <c r="F2" s="18"/>
      <c r="H2" t="s">
        <v>15</v>
      </c>
    </row>
    <row r="4" spans="1:8" x14ac:dyDescent="0.25">
      <c r="B4" t="s">
        <v>8</v>
      </c>
      <c r="C4" s="2" t="s">
        <v>0</v>
      </c>
      <c r="D4" s="2" t="s">
        <v>1</v>
      </c>
      <c r="E4" s="2" t="s">
        <v>2</v>
      </c>
      <c r="F4" s="2" t="s">
        <v>3</v>
      </c>
    </row>
    <row r="5" spans="1:8" x14ac:dyDescent="0.25">
      <c r="B5" t="s">
        <v>4</v>
      </c>
      <c r="C5" s="3">
        <v>6.9129703157699387</v>
      </c>
      <c r="D5" s="3">
        <v>6.3679933865675782</v>
      </c>
      <c r="E5" s="3">
        <v>6.6265685926095719</v>
      </c>
      <c r="F5" s="3">
        <v>6.0560831643319375</v>
      </c>
    </row>
    <row r="6" spans="1:8" x14ac:dyDescent="0.25">
      <c r="B6" t="s">
        <v>5</v>
      </c>
      <c r="C6" s="3">
        <v>6.6024172981482518</v>
      </c>
      <c r="D6" s="3">
        <v>6.6602139706816779</v>
      </c>
      <c r="E6" s="3">
        <v>6.4678388547395222</v>
      </c>
      <c r="F6" s="3">
        <v>6.6514472007194234</v>
      </c>
    </row>
    <row r="7" spans="1:8" x14ac:dyDescent="0.25">
      <c r="B7" t="s">
        <v>6</v>
      </c>
      <c r="C7" s="3">
        <v>6.0848576613730918</v>
      </c>
      <c r="D7" s="3">
        <v>6.6447250206867317</v>
      </c>
      <c r="E7" s="3">
        <v>6.0067176699969558</v>
      </c>
      <c r="F7" s="3">
        <v>6.8164971901613836</v>
      </c>
      <c r="H7" s="4" t="s">
        <v>25</v>
      </c>
    </row>
    <row r="8" spans="1:8" x14ac:dyDescent="0.25">
      <c r="B8" t="s">
        <v>7</v>
      </c>
      <c r="C8" s="3">
        <v>7.0821503145974845</v>
      </c>
      <c r="D8" s="3">
        <v>7.3189698970107306</v>
      </c>
      <c r="E8" s="3">
        <v>7.3083346706920596</v>
      </c>
      <c r="F8" s="3">
        <v>7.6497233912075391</v>
      </c>
      <c r="H8" s="4" t="s">
        <v>26</v>
      </c>
    </row>
    <row r="9" spans="1:8" x14ac:dyDescent="0.25">
      <c r="B9" t="s">
        <v>9</v>
      </c>
      <c r="C9" s="3">
        <v>8.2369481897302705</v>
      </c>
      <c r="D9" s="3">
        <v>8.4579561050186065</v>
      </c>
      <c r="E9" s="3">
        <v>8.5556035383099154</v>
      </c>
      <c r="F9" s="3">
        <v>8.3696847021514387</v>
      </c>
    </row>
    <row r="10" spans="1:8" x14ac:dyDescent="0.25">
      <c r="B10" t="s">
        <v>10</v>
      </c>
      <c r="C10" s="3">
        <v>7.8152695593950785</v>
      </c>
      <c r="D10" s="3">
        <v>7.3473161254979225</v>
      </c>
      <c r="E10" s="3">
        <v>7.7995452293242638</v>
      </c>
      <c r="F10" s="3">
        <v>7.4752538109416129</v>
      </c>
    </row>
    <row r="11" spans="1:8" x14ac:dyDescent="0.25">
      <c r="B11" t="s">
        <v>31</v>
      </c>
      <c r="C11" s="3">
        <v>9.4893305860494603</v>
      </c>
      <c r="D11" s="3">
        <v>9.0040395314397266</v>
      </c>
      <c r="E11" s="3">
        <v>9.5417555129021547</v>
      </c>
      <c r="F11" s="3">
        <v>9.8631073290135678</v>
      </c>
    </row>
    <row r="12" spans="1:8" x14ac:dyDescent="0.25">
      <c r="B12" t="s">
        <v>11</v>
      </c>
      <c r="C12" s="3">
        <v>9.6547659891003743</v>
      </c>
      <c r="D12" s="3">
        <v>9.8536496264369511</v>
      </c>
      <c r="E12" s="3">
        <v>9.3478195575456873</v>
      </c>
      <c r="F12" s="3">
        <v>9.4457266386672671</v>
      </c>
    </row>
    <row r="13" spans="1:8" x14ac:dyDescent="0.25">
      <c r="B13" t="s">
        <v>12</v>
      </c>
      <c r="C13" s="3">
        <v>9.5697316216770538</v>
      </c>
      <c r="D13" s="3">
        <v>9.4030330594212899</v>
      </c>
      <c r="E13" s="3">
        <v>9.4546027914035662</v>
      </c>
      <c r="F13" s="3">
        <v>9.1052849721120719</v>
      </c>
    </row>
    <row r="14" spans="1:8" x14ac:dyDescent="0.25">
      <c r="B14" t="s">
        <v>13</v>
      </c>
      <c r="C14" s="3">
        <v>9.0661137930822537</v>
      </c>
      <c r="D14" s="3">
        <v>9.8473581063413782</v>
      </c>
      <c r="E14" s="3">
        <v>9.1004568850419254</v>
      </c>
      <c r="F14" s="3">
        <v>9.6852594338090743</v>
      </c>
    </row>
    <row r="19" spans="2:8" ht="21" x14ac:dyDescent="0.35">
      <c r="B19" s="18" t="s">
        <v>20</v>
      </c>
      <c r="C19" s="18"/>
      <c r="D19" s="18"/>
      <c r="E19" s="18"/>
      <c r="F19" s="18"/>
    </row>
    <row r="21" spans="2:8" x14ac:dyDescent="0.25">
      <c r="B21" t="s">
        <v>8</v>
      </c>
      <c r="C21" s="2" t="s">
        <v>24</v>
      </c>
      <c r="D21" s="2" t="s">
        <v>21</v>
      </c>
      <c r="E21" s="2" t="s">
        <v>22</v>
      </c>
      <c r="F21" s="2" t="s">
        <v>23</v>
      </c>
    </row>
    <row r="22" spans="2:8" x14ac:dyDescent="0.25">
      <c r="B22" t="s">
        <v>4</v>
      </c>
      <c r="C22" s="3">
        <v>3.5</v>
      </c>
      <c r="D22" s="3">
        <v>3.1</v>
      </c>
      <c r="E22" s="3">
        <v>3.1</v>
      </c>
      <c r="F22" s="3">
        <v>3.5</v>
      </c>
    </row>
    <row r="23" spans="2:8" x14ac:dyDescent="0.25">
      <c r="B23" t="s">
        <v>5</v>
      </c>
      <c r="C23" s="3">
        <v>3.5</v>
      </c>
      <c r="D23" s="3">
        <v>3.1</v>
      </c>
      <c r="E23" s="3">
        <v>3.1</v>
      </c>
      <c r="F23" s="3">
        <v>3.5</v>
      </c>
    </row>
    <row r="24" spans="2:8" x14ac:dyDescent="0.25">
      <c r="B24" t="s">
        <v>6</v>
      </c>
      <c r="C24" s="3">
        <v>3.5</v>
      </c>
      <c r="D24" s="3">
        <v>3.1</v>
      </c>
      <c r="E24" s="3">
        <v>3.1</v>
      </c>
      <c r="F24" s="3">
        <v>3.5</v>
      </c>
      <c r="H24" s="4" t="s">
        <v>43</v>
      </c>
    </row>
    <row r="25" spans="2:8" x14ac:dyDescent="0.25">
      <c r="B25" t="s">
        <v>7</v>
      </c>
      <c r="C25" s="3">
        <v>4</v>
      </c>
      <c r="D25" s="3">
        <v>3.45</v>
      </c>
      <c r="E25" s="3">
        <v>3.2</v>
      </c>
      <c r="F25" s="3">
        <v>4</v>
      </c>
      <c r="H25" s="4" t="s">
        <v>27</v>
      </c>
    </row>
    <row r="26" spans="2:8" x14ac:dyDescent="0.25">
      <c r="B26" t="s">
        <v>9</v>
      </c>
      <c r="C26" s="3">
        <v>4</v>
      </c>
      <c r="D26" s="3">
        <v>3.4</v>
      </c>
      <c r="E26" s="3">
        <v>3.6</v>
      </c>
      <c r="F26" s="3">
        <v>4</v>
      </c>
    </row>
    <row r="27" spans="2:8" x14ac:dyDescent="0.25">
      <c r="B27" t="s">
        <v>10</v>
      </c>
      <c r="C27" s="3">
        <v>4</v>
      </c>
      <c r="D27" s="3">
        <v>3.45</v>
      </c>
      <c r="E27" s="3">
        <v>3.5</v>
      </c>
      <c r="F27" s="3">
        <v>4</v>
      </c>
    </row>
    <row r="28" spans="2:8" x14ac:dyDescent="0.25">
      <c r="B28" t="s">
        <v>31</v>
      </c>
      <c r="C28" s="3">
        <v>4.25</v>
      </c>
      <c r="D28" s="3">
        <v>3.8</v>
      </c>
      <c r="E28" s="3">
        <v>3.9</v>
      </c>
      <c r="F28" s="3">
        <v>4.25</v>
      </c>
    </row>
    <row r="29" spans="2:8" x14ac:dyDescent="0.25">
      <c r="B29" t="s">
        <v>11</v>
      </c>
      <c r="C29" s="3">
        <v>4.5</v>
      </c>
      <c r="D29" s="3">
        <v>4.25</v>
      </c>
      <c r="E29" s="3">
        <v>4.25</v>
      </c>
      <c r="F29" s="3">
        <v>4.5</v>
      </c>
    </row>
    <row r="30" spans="2:8" x14ac:dyDescent="0.25">
      <c r="B30" t="s">
        <v>12</v>
      </c>
      <c r="C30" s="3">
        <v>4.75</v>
      </c>
      <c r="D30" s="3">
        <v>4.25</v>
      </c>
      <c r="E30" s="3">
        <v>4.3</v>
      </c>
      <c r="F30" s="3">
        <v>4.75</v>
      </c>
    </row>
    <row r="31" spans="2:8" x14ac:dyDescent="0.25">
      <c r="B31" t="s">
        <v>13</v>
      </c>
      <c r="C31" s="3">
        <v>5</v>
      </c>
      <c r="D31" s="3">
        <v>4.5</v>
      </c>
      <c r="E31" s="3">
        <v>4.5</v>
      </c>
      <c r="F31" s="3">
        <v>5</v>
      </c>
    </row>
    <row r="36" spans="2:6" ht="21" x14ac:dyDescent="0.35">
      <c r="B36" s="18" t="s">
        <v>28</v>
      </c>
      <c r="C36" s="18"/>
      <c r="D36" s="18"/>
      <c r="E36" s="18"/>
      <c r="F36" s="18"/>
    </row>
    <row r="38" spans="2:6" x14ac:dyDescent="0.25">
      <c r="B38" t="s">
        <v>8</v>
      </c>
      <c r="C38" s="2" t="s">
        <v>24</v>
      </c>
      <c r="D38" s="2" t="s">
        <v>21</v>
      </c>
      <c r="E38" s="2" t="s">
        <v>22</v>
      </c>
      <c r="F38" s="2" t="s">
        <v>23</v>
      </c>
    </row>
    <row r="39" spans="2:6" x14ac:dyDescent="0.25">
      <c r="B39" t="s">
        <v>4</v>
      </c>
      <c r="C39" s="3">
        <f>C22*8-C5</f>
        <v>21.08702968423006</v>
      </c>
      <c r="D39" s="3">
        <f t="shared" ref="D39:F39" si="0">D22*8-D5</f>
        <v>18.432006613432421</v>
      </c>
      <c r="E39" s="3">
        <f t="shared" si="0"/>
        <v>18.173431407390428</v>
      </c>
      <c r="F39" s="3">
        <f t="shared" si="0"/>
        <v>21.943916835668063</v>
      </c>
    </row>
    <row r="40" spans="2:6" x14ac:dyDescent="0.25">
      <c r="B40" t="s">
        <v>5</v>
      </c>
      <c r="C40" s="3">
        <f t="shared" ref="C40:F40" si="1">C23*8-C6</f>
        <v>21.397582701851746</v>
      </c>
      <c r="D40" s="3">
        <f t="shared" si="1"/>
        <v>18.139786029318323</v>
      </c>
      <c r="E40" s="3">
        <f t="shared" si="1"/>
        <v>18.332161145260478</v>
      </c>
      <c r="F40" s="3">
        <f t="shared" si="1"/>
        <v>21.348552799280576</v>
      </c>
    </row>
    <row r="41" spans="2:6" x14ac:dyDescent="0.25">
      <c r="B41" t="s">
        <v>6</v>
      </c>
      <c r="C41" s="3">
        <f t="shared" ref="C41:F41" si="2">C24*8-C7</f>
        <v>21.915142338626907</v>
      </c>
      <c r="D41" s="3">
        <f t="shared" si="2"/>
        <v>18.155274979313269</v>
      </c>
      <c r="E41" s="3">
        <f t="shared" si="2"/>
        <v>18.793282330003045</v>
      </c>
      <c r="F41" s="3">
        <f t="shared" si="2"/>
        <v>21.183502809838615</v>
      </c>
    </row>
    <row r="42" spans="2:6" x14ac:dyDescent="0.25">
      <c r="B42" t="s">
        <v>7</v>
      </c>
      <c r="C42" s="3">
        <f t="shared" ref="C42:F42" si="3">C25*8-C8</f>
        <v>24.917849685402516</v>
      </c>
      <c r="D42" s="3">
        <f t="shared" si="3"/>
        <v>20.28103010298927</v>
      </c>
      <c r="E42" s="3">
        <f t="shared" si="3"/>
        <v>18.291665329307943</v>
      </c>
      <c r="F42" s="3">
        <f t="shared" si="3"/>
        <v>24.350276608792463</v>
      </c>
    </row>
    <row r="43" spans="2:6" x14ac:dyDescent="0.25">
      <c r="B43" t="s">
        <v>9</v>
      </c>
      <c r="C43" s="3">
        <f t="shared" ref="C43:F43" si="4">C26*8-C9</f>
        <v>23.763051810269729</v>
      </c>
      <c r="D43" s="3">
        <f t="shared" si="4"/>
        <v>18.742043894981393</v>
      </c>
      <c r="E43" s="3">
        <f t="shared" si="4"/>
        <v>20.244396461690087</v>
      </c>
      <c r="F43" s="3">
        <f t="shared" si="4"/>
        <v>23.630315297848561</v>
      </c>
    </row>
    <row r="44" spans="2:6" x14ac:dyDescent="0.25">
      <c r="B44" t="s">
        <v>10</v>
      </c>
      <c r="C44" s="3">
        <f t="shared" ref="C44:F44" si="5">C27*8-C10</f>
        <v>24.184730440604923</v>
      </c>
      <c r="D44" s="3">
        <f t="shared" si="5"/>
        <v>20.252683874502079</v>
      </c>
      <c r="E44" s="3">
        <f t="shared" si="5"/>
        <v>20.200454770675737</v>
      </c>
      <c r="F44" s="3">
        <f t="shared" si="5"/>
        <v>24.524746189058387</v>
      </c>
    </row>
    <row r="45" spans="2:6" x14ac:dyDescent="0.25">
      <c r="B45" t="s">
        <v>31</v>
      </c>
      <c r="C45" s="3">
        <f t="shared" ref="C45:F45" si="6">C28*8-C11</f>
        <v>24.510669413950538</v>
      </c>
      <c r="D45" s="3">
        <f t="shared" si="6"/>
        <v>21.395960468560272</v>
      </c>
      <c r="E45" s="3">
        <f t="shared" si="6"/>
        <v>21.658244487097846</v>
      </c>
      <c r="F45" s="3">
        <f t="shared" si="6"/>
        <v>24.136892670986434</v>
      </c>
    </row>
    <row r="46" spans="2:6" x14ac:dyDescent="0.25">
      <c r="B46" t="s">
        <v>11</v>
      </c>
      <c r="C46" s="3">
        <f t="shared" ref="C46:F46" si="7">C29*8-C12</f>
        <v>26.345234010899624</v>
      </c>
      <c r="D46" s="3">
        <f t="shared" si="7"/>
        <v>24.146350373563049</v>
      </c>
      <c r="E46" s="3">
        <f t="shared" si="7"/>
        <v>24.652180442454313</v>
      </c>
      <c r="F46" s="3">
        <f t="shared" si="7"/>
        <v>26.554273361332733</v>
      </c>
    </row>
    <row r="47" spans="2:6" x14ac:dyDescent="0.25">
      <c r="B47" t="s">
        <v>12</v>
      </c>
      <c r="C47" s="3">
        <f t="shared" ref="C47:F47" si="8">C30*8-C13</f>
        <v>28.430268378322946</v>
      </c>
      <c r="D47" s="3">
        <f t="shared" si="8"/>
        <v>24.59696694057871</v>
      </c>
      <c r="E47" s="3">
        <f t="shared" si="8"/>
        <v>24.945397208596432</v>
      </c>
      <c r="F47" s="3">
        <f t="shared" si="8"/>
        <v>28.894715027887926</v>
      </c>
    </row>
    <row r="48" spans="2:6" x14ac:dyDescent="0.25">
      <c r="B48" t="s">
        <v>13</v>
      </c>
      <c r="C48" s="3">
        <f t="shared" ref="C48:F48" si="9">C31*8-C14</f>
        <v>30.933886206917748</v>
      </c>
      <c r="D48" s="3">
        <f t="shared" si="9"/>
        <v>26.152641893658622</v>
      </c>
      <c r="E48" s="3">
        <f t="shared" si="9"/>
        <v>26.899543114958075</v>
      </c>
      <c r="F48" s="3">
        <f t="shared" si="9"/>
        <v>30.314740566190927</v>
      </c>
    </row>
  </sheetData>
  <mergeCells count="3">
    <mergeCell ref="B2:F2"/>
    <mergeCell ref="B19:F19"/>
    <mergeCell ref="B36:F3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Voting_frmDash">
                <anchor moveWithCells="1" sizeWithCells="1">
                  <from>
                    <xdr:col>6</xdr:col>
                    <xdr:colOff>581025</xdr:colOff>
                    <xdr:row>8</xdr:row>
                    <xdr:rowOff>180975</xdr:rowOff>
                  </from>
                  <to>
                    <xdr:col>11</xdr:col>
                    <xdr:colOff>85725</xdr:colOff>
                    <xdr:row>14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Sales"/>
  <dimension ref="B1:AG65"/>
  <sheetViews>
    <sheetView zoomScale="75" workbookViewId="0">
      <selection activeCell="D65" sqref="D65"/>
    </sheetView>
  </sheetViews>
  <sheetFormatPr defaultColWidth="8.85546875" defaultRowHeight="15" x14ac:dyDescent="0.25"/>
  <cols>
    <col min="2" max="2" width="24.42578125" bestFit="1" customWidth="1"/>
    <col min="3" max="3" width="24.42578125" customWidth="1"/>
    <col min="4" max="33" width="13.42578125" customWidth="1"/>
  </cols>
  <sheetData>
    <row r="1" spans="2:33" x14ac:dyDescent="0.25">
      <c r="B1" s="19" t="s">
        <v>16</v>
      </c>
      <c r="C1" s="19"/>
      <c r="D1" s="19"/>
      <c r="E1" s="19"/>
      <c r="F1" s="19"/>
    </row>
    <row r="2" spans="2:33" x14ac:dyDescent="0.25">
      <c r="B2" s="19"/>
      <c r="C2" s="19"/>
      <c r="D2" s="19"/>
      <c r="E2" s="19"/>
      <c r="F2" s="19"/>
    </row>
    <row r="3" spans="2:33" x14ac:dyDescent="0.25">
      <c r="B3" s="19"/>
      <c r="C3" s="19"/>
      <c r="D3" s="19"/>
      <c r="E3" s="19"/>
      <c r="F3" s="19"/>
    </row>
    <row r="4" spans="2:33" x14ac:dyDescent="0.25">
      <c r="B4" s="20">
        <v>43040</v>
      </c>
      <c r="C4" s="20"/>
      <c r="D4" s="21"/>
      <c r="E4" s="21"/>
      <c r="F4" s="21"/>
    </row>
    <row r="7" spans="2:33" x14ac:dyDescent="0.25">
      <c r="B7" s="6" t="s">
        <v>14</v>
      </c>
      <c r="C7" s="6"/>
      <c r="D7" s="12" t="s">
        <v>34</v>
      </c>
      <c r="E7" s="12" t="s">
        <v>35</v>
      </c>
      <c r="F7" s="12" t="s">
        <v>36</v>
      </c>
      <c r="G7" s="12" t="s">
        <v>37</v>
      </c>
      <c r="H7" s="12" t="s">
        <v>38</v>
      </c>
      <c r="I7" s="12" t="s">
        <v>39</v>
      </c>
      <c r="J7" s="12" t="s">
        <v>40</v>
      </c>
      <c r="K7" s="12" t="s">
        <v>34</v>
      </c>
      <c r="L7" s="12" t="s">
        <v>35</v>
      </c>
      <c r="M7" s="12" t="s">
        <v>36</v>
      </c>
      <c r="N7" s="12" t="s">
        <v>37</v>
      </c>
      <c r="O7" s="12" t="s">
        <v>38</v>
      </c>
      <c r="P7" s="12" t="s">
        <v>39</v>
      </c>
      <c r="Q7" s="12" t="s">
        <v>40</v>
      </c>
      <c r="R7" s="12" t="s">
        <v>34</v>
      </c>
      <c r="S7" s="12" t="s">
        <v>35</v>
      </c>
      <c r="T7" s="12" t="s">
        <v>36</v>
      </c>
      <c r="U7" s="12" t="s">
        <v>37</v>
      </c>
      <c r="V7" s="12" t="s">
        <v>38</v>
      </c>
      <c r="W7" s="12" t="s">
        <v>39</v>
      </c>
      <c r="X7" s="12" t="s">
        <v>40</v>
      </c>
      <c r="Y7" s="12" t="s">
        <v>34</v>
      </c>
      <c r="Z7" s="12" t="s">
        <v>35</v>
      </c>
      <c r="AA7" s="12" t="s">
        <v>36</v>
      </c>
      <c r="AB7" s="12" t="s">
        <v>37</v>
      </c>
      <c r="AC7" s="12" t="s">
        <v>38</v>
      </c>
      <c r="AD7" s="12" t="s">
        <v>39</v>
      </c>
      <c r="AE7" s="12" t="s">
        <v>40</v>
      </c>
      <c r="AF7" s="12" t="s">
        <v>34</v>
      </c>
      <c r="AG7" s="12" t="s">
        <v>35</v>
      </c>
    </row>
    <row r="8" spans="2:33" x14ac:dyDescent="0.25">
      <c r="B8" t="s">
        <v>8</v>
      </c>
      <c r="C8" t="s">
        <v>30</v>
      </c>
      <c r="D8" s="1">
        <v>43040</v>
      </c>
      <c r="E8" s="1">
        <v>43041</v>
      </c>
      <c r="F8" s="1">
        <v>43042</v>
      </c>
      <c r="G8" s="1">
        <v>43043</v>
      </c>
      <c r="H8" s="1">
        <v>43044</v>
      </c>
      <c r="I8" s="1">
        <v>43045</v>
      </c>
      <c r="J8" s="1">
        <v>43046</v>
      </c>
      <c r="K8" s="1">
        <v>43047</v>
      </c>
      <c r="L8" s="1">
        <v>43048</v>
      </c>
      <c r="M8" s="1">
        <v>43049</v>
      </c>
      <c r="N8" s="1">
        <v>43050</v>
      </c>
      <c r="O8" s="1">
        <v>43051</v>
      </c>
      <c r="P8" s="1">
        <v>43052</v>
      </c>
      <c r="Q8" s="1">
        <v>43053</v>
      </c>
      <c r="R8" s="1">
        <v>43054</v>
      </c>
      <c r="S8" s="1">
        <v>43055</v>
      </c>
      <c r="T8" s="1">
        <v>43056</v>
      </c>
      <c r="U8" s="1">
        <v>43057</v>
      </c>
      <c r="V8" s="1">
        <v>43058</v>
      </c>
      <c r="W8" s="1">
        <v>43059</v>
      </c>
      <c r="X8" s="1">
        <v>43060</v>
      </c>
      <c r="Y8" s="1">
        <v>43061</v>
      </c>
      <c r="Z8" s="1">
        <v>43062</v>
      </c>
      <c r="AA8" s="1">
        <v>43063</v>
      </c>
      <c r="AB8" s="1">
        <v>43064</v>
      </c>
      <c r="AC8" s="1">
        <v>43065</v>
      </c>
      <c r="AD8" s="1">
        <v>43066</v>
      </c>
      <c r="AE8" s="1">
        <v>43067</v>
      </c>
      <c r="AF8" s="1">
        <v>43068</v>
      </c>
      <c r="AG8" s="1">
        <v>43069</v>
      </c>
    </row>
    <row r="9" spans="2:33" x14ac:dyDescent="0.25">
      <c r="B9" t="str">
        <f>'Suppliers and Pricing'!$B$5</f>
        <v>Vanilla</v>
      </c>
      <c r="C9" s="3">
        <f>'Suppliers and Pricing'!C22</f>
        <v>3.5</v>
      </c>
      <c r="D9">
        <v>18</v>
      </c>
      <c r="E9">
        <v>11</v>
      </c>
      <c r="F9">
        <v>10</v>
      </c>
      <c r="G9">
        <v>11</v>
      </c>
      <c r="H9">
        <v>10</v>
      </c>
      <c r="I9">
        <v>11</v>
      </c>
      <c r="J9">
        <v>19</v>
      </c>
      <c r="K9">
        <v>18</v>
      </c>
      <c r="L9">
        <v>16</v>
      </c>
      <c r="M9">
        <v>24</v>
      </c>
      <c r="N9">
        <v>13</v>
      </c>
      <c r="O9">
        <v>14</v>
      </c>
      <c r="P9">
        <v>18</v>
      </c>
      <c r="Q9">
        <v>19</v>
      </c>
      <c r="R9">
        <v>17</v>
      </c>
      <c r="S9">
        <v>14</v>
      </c>
      <c r="T9">
        <v>13</v>
      </c>
    </row>
    <row r="10" spans="2:33" x14ac:dyDescent="0.25">
      <c r="B10" t="str">
        <f>'Suppliers and Pricing'!$B$6</f>
        <v>Chocolate</v>
      </c>
      <c r="C10" s="3">
        <f>'Suppliers and Pricing'!C23</f>
        <v>3.5</v>
      </c>
      <c r="D10">
        <v>13</v>
      </c>
      <c r="E10">
        <v>11</v>
      </c>
      <c r="F10">
        <v>26</v>
      </c>
      <c r="G10">
        <v>14</v>
      </c>
      <c r="H10">
        <v>30</v>
      </c>
      <c r="I10">
        <v>19</v>
      </c>
      <c r="J10">
        <v>14</v>
      </c>
      <c r="K10">
        <v>15</v>
      </c>
      <c r="L10">
        <v>16</v>
      </c>
      <c r="M10">
        <v>29</v>
      </c>
      <c r="N10">
        <v>11</v>
      </c>
      <c r="O10">
        <v>20</v>
      </c>
      <c r="P10">
        <v>11</v>
      </c>
      <c r="Q10">
        <v>19</v>
      </c>
      <c r="R10">
        <v>20</v>
      </c>
      <c r="S10">
        <v>10</v>
      </c>
      <c r="T10">
        <v>14</v>
      </c>
    </row>
    <row r="11" spans="2:33" x14ac:dyDescent="0.25">
      <c r="B11" t="str">
        <f>'Suppliers and Pricing'!$B$7</f>
        <v>Strawberry</v>
      </c>
      <c r="C11" s="3">
        <f>'Suppliers and Pricing'!C24</f>
        <v>3.5</v>
      </c>
      <c r="D11">
        <v>15</v>
      </c>
      <c r="E11">
        <v>19</v>
      </c>
      <c r="F11">
        <v>30</v>
      </c>
      <c r="G11">
        <v>16</v>
      </c>
      <c r="H11">
        <v>10</v>
      </c>
      <c r="I11">
        <v>14</v>
      </c>
      <c r="J11">
        <v>12</v>
      </c>
      <c r="K11">
        <v>16</v>
      </c>
      <c r="L11">
        <v>20</v>
      </c>
      <c r="M11">
        <v>30</v>
      </c>
      <c r="N11">
        <v>17</v>
      </c>
      <c r="O11">
        <v>11</v>
      </c>
      <c r="P11">
        <v>12</v>
      </c>
      <c r="Q11">
        <v>15</v>
      </c>
      <c r="R11">
        <v>15</v>
      </c>
      <c r="S11">
        <v>19</v>
      </c>
      <c r="T11">
        <v>10</v>
      </c>
    </row>
    <row r="12" spans="2:33" x14ac:dyDescent="0.25">
      <c r="B12" t="str">
        <f>'Suppliers and Pricing'!$B$8</f>
        <v>Cookies and Cream</v>
      </c>
      <c r="C12" s="3">
        <f>'Suppliers and Pricing'!C25</f>
        <v>4</v>
      </c>
      <c r="D12">
        <v>17</v>
      </c>
      <c r="E12">
        <v>10</v>
      </c>
      <c r="F12">
        <v>24</v>
      </c>
      <c r="G12">
        <v>10</v>
      </c>
      <c r="H12">
        <v>23</v>
      </c>
      <c r="I12">
        <v>18</v>
      </c>
      <c r="J12">
        <v>14</v>
      </c>
      <c r="K12">
        <v>15</v>
      </c>
      <c r="L12">
        <v>19</v>
      </c>
      <c r="M12">
        <v>19</v>
      </c>
      <c r="N12">
        <v>29</v>
      </c>
      <c r="O12">
        <v>28</v>
      </c>
      <c r="P12">
        <v>13</v>
      </c>
      <c r="Q12">
        <v>12</v>
      </c>
      <c r="R12">
        <v>19</v>
      </c>
      <c r="S12">
        <v>15</v>
      </c>
      <c r="T12">
        <v>19</v>
      </c>
    </row>
    <row r="13" spans="2:33" x14ac:dyDescent="0.25">
      <c r="B13" t="str">
        <f>'Suppliers and Pricing'!$B$9</f>
        <v>Mint Chocolate Chip</v>
      </c>
      <c r="C13" s="3">
        <f>'Suppliers and Pricing'!C26</f>
        <v>4</v>
      </c>
      <c r="D13">
        <v>4</v>
      </c>
      <c r="E13">
        <v>3</v>
      </c>
      <c r="F13">
        <v>20</v>
      </c>
      <c r="G13">
        <v>0</v>
      </c>
      <c r="H13">
        <v>4</v>
      </c>
      <c r="I13">
        <v>9</v>
      </c>
      <c r="J13">
        <v>9</v>
      </c>
      <c r="K13">
        <v>7</v>
      </c>
      <c r="L13">
        <v>13</v>
      </c>
      <c r="M13">
        <v>5</v>
      </c>
      <c r="N13">
        <v>18</v>
      </c>
      <c r="O13">
        <v>20</v>
      </c>
      <c r="P13">
        <v>0</v>
      </c>
      <c r="Q13">
        <v>12</v>
      </c>
      <c r="R13">
        <v>5</v>
      </c>
      <c r="S13">
        <v>4</v>
      </c>
      <c r="T13">
        <v>9</v>
      </c>
    </row>
    <row r="14" spans="2:33" x14ac:dyDescent="0.25">
      <c r="B14" t="str">
        <f>'Suppliers and Pricing'!$B$10</f>
        <v>Mint</v>
      </c>
      <c r="C14" s="3">
        <f>'Suppliers and Pricing'!C27</f>
        <v>4</v>
      </c>
      <c r="D14">
        <v>11</v>
      </c>
      <c r="E14">
        <v>5</v>
      </c>
      <c r="F14">
        <v>8</v>
      </c>
      <c r="G14">
        <v>14</v>
      </c>
      <c r="H14">
        <v>16</v>
      </c>
      <c r="I14">
        <v>7</v>
      </c>
      <c r="J14">
        <v>8</v>
      </c>
      <c r="K14">
        <v>5</v>
      </c>
      <c r="L14">
        <v>10</v>
      </c>
      <c r="M14">
        <v>19</v>
      </c>
      <c r="N14">
        <v>14</v>
      </c>
      <c r="O14">
        <v>8</v>
      </c>
      <c r="P14">
        <v>10</v>
      </c>
      <c r="Q14">
        <v>0</v>
      </c>
      <c r="R14">
        <v>10</v>
      </c>
      <c r="S14">
        <v>11</v>
      </c>
      <c r="T14">
        <v>1</v>
      </c>
    </row>
    <row r="15" spans="2:33" x14ac:dyDescent="0.25">
      <c r="B15" t="str">
        <f>'Suppliers and Pricing'!$B$11</f>
        <v>Double Chocolate</v>
      </c>
      <c r="C15" s="3">
        <f>'Suppliers and Pricing'!C28</f>
        <v>4.25</v>
      </c>
      <c r="D15">
        <v>15</v>
      </c>
      <c r="E15">
        <v>13</v>
      </c>
      <c r="F15">
        <v>14</v>
      </c>
      <c r="G15">
        <v>5</v>
      </c>
      <c r="H15">
        <v>20</v>
      </c>
      <c r="I15">
        <v>8</v>
      </c>
      <c r="J15">
        <v>3</v>
      </c>
      <c r="K15">
        <v>11</v>
      </c>
      <c r="L15">
        <v>15</v>
      </c>
      <c r="M15">
        <v>7</v>
      </c>
      <c r="N15">
        <v>11</v>
      </c>
      <c r="O15">
        <v>10</v>
      </c>
      <c r="P15">
        <v>11</v>
      </c>
      <c r="Q15">
        <v>9</v>
      </c>
      <c r="R15">
        <v>14</v>
      </c>
      <c r="S15">
        <v>9</v>
      </c>
      <c r="T15">
        <v>22</v>
      </c>
    </row>
    <row r="16" spans="2:33" x14ac:dyDescent="0.25">
      <c r="B16" t="str">
        <f>'Suppliers and Pricing'!$B$12</f>
        <v>Rocky Road</v>
      </c>
      <c r="C16" s="3">
        <f>'Suppliers and Pricing'!C29</f>
        <v>4.5</v>
      </c>
      <c r="D16">
        <v>15</v>
      </c>
      <c r="E16">
        <v>7</v>
      </c>
      <c r="F16">
        <v>12</v>
      </c>
      <c r="G16">
        <v>14</v>
      </c>
      <c r="H16">
        <v>17</v>
      </c>
      <c r="I16">
        <v>11</v>
      </c>
      <c r="J16">
        <v>14</v>
      </c>
      <c r="K16">
        <v>10</v>
      </c>
      <c r="L16">
        <v>13</v>
      </c>
      <c r="M16">
        <v>24</v>
      </c>
      <c r="N16">
        <v>21</v>
      </c>
      <c r="O16">
        <v>4</v>
      </c>
      <c r="P16">
        <v>0</v>
      </c>
      <c r="Q16">
        <v>6</v>
      </c>
      <c r="R16">
        <v>5</v>
      </c>
      <c r="S16">
        <v>4</v>
      </c>
      <c r="T16">
        <v>16</v>
      </c>
    </row>
    <row r="17" spans="2:33" x14ac:dyDescent="0.25">
      <c r="B17" t="str">
        <f>'Suppliers and Pricing'!$B$13</f>
        <v>Fudge Brownie</v>
      </c>
      <c r="C17" s="3">
        <f>'Suppliers and Pricing'!C30</f>
        <v>4.75</v>
      </c>
      <c r="D17">
        <v>1</v>
      </c>
      <c r="E17">
        <v>11</v>
      </c>
      <c r="F17">
        <v>8</v>
      </c>
      <c r="G17">
        <v>6</v>
      </c>
      <c r="H17">
        <v>9</v>
      </c>
      <c r="I17">
        <v>3</v>
      </c>
      <c r="J17">
        <v>6</v>
      </c>
      <c r="K17">
        <v>14</v>
      </c>
      <c r="L17">
        <v>8</v>
      </c>
      <c r="M17">
        <v>9</v>
      </c>
      <c r="N17">
        <v>7</v>
      </c>
      <c r="O17">
        <v>15</v>
      </c>
      <c r="P17">
        <v>7</v>
      </c>
      <c r="Q17">
        <v>0</v>
      </c>
      <c r="R17">
        <v>11</v>
      </c>
      <c r="S17">
        <v>8</v>
      </c>
      <c r="T17">
        <v>20</v>
      </c>
    </row>
    <row r="18" spans="2:33" x14ac:dyDescent="0.25">
      <c r="B18" t="str">
        <f>'Suppliers and Pricing'!$B$14</f>
        <v>Reese's Peanut Butter Cup</v>
      </c>
      <c r="C18" s="3">
        <f>'Suppliers and Pricing'!C31</f>
        <v>5</v>
      </c>
      <c r="D18">
        <v>9</v>
      </c>
      <c r="E18">
        <v>10</v>
      </c>
      <c r="F18">
        <v>18</v>
      </c>
      <c r="G18">
        <v>15</v>
      </c>
      <c r="H18">
        <v>14</v>
      </c>
      <c r="I18">
        <v>10</v>
      </c>
      <c r="J18">
        <v>10</v>
      </c>
      <c r="K18">
        <v>3</v>
      </c>
      <c r="L18">
        <v>2</v>
      </c>
      <c r="M18">
        <v>15</v>
      </c>
      <c r="N18">
        <v>20</v>
      </c>
      <c r="O18">
        <v>4</v>
      </c>
      <c r="P18">
        <v>15</v>
      </c>
      <c r="Q18">
        <v>10</v>
      </c>
      <c r="R18">
        <v>3</v>
      </c>
      <c r="S18">
        <v>12</v>
      </c>
      <c r="T18">
        <v>3</v>
      </c>
    </row>
    <row r="19" spans="2:33" s="11" customFormat="1" x14ac:dyDescent="0.25">
      <c r="C19" s="11" t="s">
        <v>41</v>
      </c>
      <c r="D19" s="11">
        <f>SUM(D9:D18)</f>
        <v>118</v>
      </c>
      <c r="E19" s="11">
        <f>SUM(E9:E18)</f>
        <v>100</v>
      </c>
      <c r="F19" s="11">
        <f t="shared" ref="F19" si="0">SUM(F9:F18)</f>
        <v>170</v>
      </c>
      <c r="G19" s="11">
        <f t="shared" ref="G19" si="1">SUM(G9:G18)</f>
        <v>105</v>
      </c>
      <c r="H19" s="11">
        <f t="shared" ref="H19" si="2">SUM(H9:H18)</f>
        <v>153</v>
      </c>
      <c r="I19" s="11">
        <f t="shared" ref="I19" si="3">SUM(I9:I18)</f>
        <v>110</v>
      </c>
      <c r="J19" s="11">
        <f t="shared" ref="J19" si="4">SUM(J9:J18)</f>
        <v>109</v>
      </c>
      <c r="K19" s="11">
        <f t="shared" ref="K19" si="5">SUM(K9:K18)</f>
        <v>114</v>
      </c>
      <c r="L19" s="11">
        <f t="shared" ref="L19" si="6">SUM(L9:L18)</f>
        <v>132</v>
      </c>
      <c r="M19" s="11">
        <f t="shared" ref="M19" si="7">SUM(M9:M18)</f>
        <v>181</v>
      </c>
      <c r="N19" s="11">
        <f t="shared" ref="N19" si="8">SUM(N9:N18)</f>
        <v>161</v>
      </c>
      <c r="O19" s="11">
        <f t="shared" ref="O19" si="9">SUM(O9:O18)</f>
        <v>134</v>
      </c>
      <c r="P19" s="11">
        <f t="shared" ref="P19" si="10">SUM(P9:P18)</f>
        <v>97</v>
      </c>
      <c r="Q19" s="11">
        <f t="shared" ref="Q19" si="11">SUM(Q9:Q18)</f>
        <v>102</v>
      </c>
      <c r="R19" s="11">
        <f t="shared" ref="R19" si="12">SUM(R9:R18)</f>
        <v>119</v>
      </c>
      <c r="S19" s="11">
        <f t="shared" ref="S19" si="13">SUM(S9:S18)</f>
        <v>106</v>
      </c>
      <c r="T19" s="11">
        <f t="shared" ref="T19" si="14">SUM(T9:T18)</f>
        <v>127</v>
      </c>
      <c r="U19" s="11">
        <f t="shared" ref="U19" si="15">SUM(U9:U18)</f>
        <v>0</v>
      </c>
      <c r="V19" s="11">
        <f t="shared" ref="V19" si="16">SUM(V9:V18)</f>
        <v>0</v>
      </c>
      <c r="W19" s="11">
        <f t="shared" ref="W19" si="17">SUM(W9:W18)</f>
        <v>0</v>
      </c>
      <c r="X19" s="11">
        <f t="shared" ref="X19" si="18">SUM(X9:X18)</f>
        <v>0</v>
      </c>
      <c r="Y19" s="11">
        <f t="shared" ref="Y19" si="19">SUM(Y9:Y18)</f>
        <v>0</v>
      </c>
      <c r="Z19" s="11">
        <f t="shared" ref="Z19" si="20">SUM(Z9:Z18)</f>
        <v>0</v>
      </c>
      <c r="AA19" s="11">
        <f t="shared" ref="AA19" si="21">SUM(AA9:AA18)</f>
        <v>0</v>
      </c>
      <c r="AB19" s="11">
        <f t="shared" ref="AB19" si="22">SUM(AB9:AB18)</f>
        <v>0</v>
      </c>
      <c r="AC19" s="11">
        <f t="shared" ref="AC19" si="23">SUM(AC9:AC18)</f>
        <v>0</v>
      </c>
      <c r="AD19" s="11">
        <f t="shared" ref="AD19" si="24">SUM(AD9:AD18)</f>
        <v>0</v>
      </c>
      <c r="AE19" s="11">
        <f t="shared" ref="AE19" si="25">SUM(AE9:AE18)</f>
        <v>0</v>
      </c>
      <c r="AF19" s="11">
        <f t="shared" ref="AF19" si="26">SUM(AF9:AF18)</f>
        <v>0</v>
      </c>
      <c r="AG19" s="11">
        <f t="shared" ref="AG19" si="27">SUM(AG9:AG18)</f>
        <v>0</v>
      </c>
    </row>
    <row r="20" spans="2:33" s="10" customFormat="1" x14ac:dyDescent="0.25">
      <c r="C20" s="10" t="s">
        <v>42</v>
      </c>
      <c r="D20" s="13">
        <f>($C9*D9)+($C10*D10)+($C11*D11)+($C12*D12)+($C13*D13)+($C14*D14)+($C15*D15)+($C16*D16)+($C17*D17)+($C18*D18)</f>
        <v>470</v>
      </c>
      <c r="E20" s="13">
        <f>($C9*E9)+($C10*E10)+($C11*E11)+($C12*E12)+($C13*E13)+($C14*E14)+($C15*E15)+($C16*E16)+($C17*E17)+($C18*E18)</f>
        <v>404.5</v>
      </c>
      <c r="F20" s="13">
        <f t="shared" ref="F20:AG20" si="28">($C9*F9)+($C10*F10)+($C11*F11)+($C12*F12)+($C13*F13)+($C14*F14)+($C15*F15)+($C16*F16)+($C17*F17)+($C18*F18)</f>
        <v>680.5</v>
      </c>
      <c r="G20" s="13">
        <f t="shared" si="28"/>
        <v>427.25</v>
      </c>
      <c r="H20" s="13">
        <f t="shared" si="28"/>
        <v>621.25</v>
      </c>
      <c r="I20" s="13">
        <f t="shared" si="28"/>
        <v>437.75</v>
      </c>
      <c r="J20" s="13">
        <f t="shared" si="28"/>
        <v>435.75</v>
      </c>
      <c r="K20" s="13">
        <f t="shared" si="28"/>
        <v>452.75</v>
      </c>
      <c r="L20" s="13">
        <f t="shared" si="28"/>
        <v>520.25</v>
      </c>
      <c r="M20" s="13">
        <f t="shared" si="28"/>
        <v>718</v>
      </c>
      <c r="N20" s="13">
        <f t="shared" si="28"/>
        <v>662</v>
      </c>
      <c r="O20" s="13">
        <f t="shared" si="28"/>
        <v>533.25</v>
      </c>
      <c r="P20" s="13">
        <f t="shared" si="28"/>
        <v>390.5</v>
      </c>
      <c r="Q20" s="13">
        <f t="shared" si="28"/>
        <v>396.75</v>
      </c>
      <c r="R20" s="13">
        <f t="shared" si="28"/>
        <v>467.25</v>
      </c>
      <c r="S20" s="13">
        <f t="shared" si="28"/>
        <v>424.75</v>
      </c>
      <c r="T20" s="13">
        <f t="shared" si="28"/>
        <v>521</v>
      </c>
      <c r="U20" s="13">
        <f t="shared" si="28"/>
        <v>0</v>
      </c>
      <c r="V20" s="13">
        <f t="shared" si="28"/>
        <v>0</v>
      </c>
      <c r="W20" s="13">
        <f t="shared" si="28"/>
        <v>0</v>
      </c>
      <c r="X20" s="13">
        <f t="shared" si="28"/>
        <v>0</v>
      </c>
      <c r="Y20" s="13">
        <f t="shared" si="28"/>
        <v>0</v>
      </c>
      <c r="Z20" s="13">
        <f t="shared" si="28"/>
        <v>0</v>
      </c>
      <c r="AA20" s="13">
        <f t="shared" si="28"/>
        <v>0</v>
      </c>
      <c r="AB20" s="13">
        <f t="shared" si="28"/>
        <v>0</v>
      </c>
      <c r="AC20" s="13">
        <f t="shared" si="28"/>
        <v>0</v>
      </c>
      <c r="AD20" s="13">
        <f t="shared" si="28"/>
        <v>0</v>
      </c>
      <c r="AE20" s="13">
        <f t="shared" si="28"/>
        <v>0</v>
      </c>
      <c r="AF20" s="13">
        <f t="shared" si="28"/>
        <v>0</v>
      </c>
      <c r="AG20" s="13">
        <f t="shared" si="28"/>
        <v>0</v>
      </c>
    </row>
    <row r="22" spans="2:33" x14ac:dyDescent="0.25">
      <c r="B22" s="6" t="s">
        <v>21</v>
      </c>
      <c r="C22" s="6"/>
      <c r="D22" s="12" t="s">
        <v>34</v>
      </c>
      <c r="E22" s="12" t="s">
        <v>35</v>
      </c>
      <c r="F22" s="12" t="s">
        <v>36</v>
      </c>
      <c r="G22" s="12" t="s">
        <v>37</v>
      </c>
      <c r="H22" s="12" t="s">
        <v>38</v>
      </c>
      <c r="I22" s="12" t="s">
        <v>39</v>
      </c>
      <c r="J22" s="12" t="s">
        <v>40</v>
      </c>
      <c r="K22" s="12" t="s">
        <v>34</v>
      </c>
      <c r="L22" s="12" t="s">
        <v>35</v>
      </c>
      <c r="M22" s="12" t="s">
        <v>36</v>
      </c>
      <c r="N22" s="12" t="s">
        <v>37</v>
      </c>
      <c r="O22" s="12" t="s">
        <v>38</v>
      </c>
      <c r="P22" s="12" t="s">
        <v>39</v>
      </c>
      <c r="Q22" s="12" t="s">
        <v>40</v>
      </c>
      <c r="R22" s="12" t="s">
        <v>34</v>
      </c>
      <c r="S22" s="12" t="s">
        <v>35</v>
      </c>
      <c r="T22" s="12" t="s">
        <v>36</v>
      </c>
      <c r="U22" s="12" t="s">
        <v>37</v>
      </c>
      <c r="V22" s="12" t="s">
        <v>38</v>
      </c>
      <c r="W22" s="12" t="s">
        <v>39</v>
      </c>
      <c r="X22" s="12" t="s">
        <v>40</v>
      </c>
      <c r="Y22" s="12" t="s">
        <v>34</v>
      </c>
      <c r="Z22" s="12" t="s">
        <v>35</v>
      </c>
      <c r="AA22" s="12" t="s">
        <v>36</v>
      </c>
      <c r="AB22" s="12" t="s">
        <v>37</v>
      </c>
      <c r="AC22" s="12" t="s">
        <v>38</v>
      </c>
      <c r="AD22" s="12" t="s">
        <v>39</v>
      </c>
      <c r="AE22" s="12" t="s">
        <v>40</v>
      </c>
      <c r="AF22" s="12" t="s">
        <v>34</v>
      </c>
      <c r="AG22" s="12" t="s">
        <v>35</v>
      </c>
    </row>
    <row r="23" spans="2:33" x14ac:dyDescent="0.25">
      <c r="B23" t="s">
        <v>8</v>
      </c>
      <c r="D23" s="1">
        <v>43040</v>
      </c>
      <c r="E23" s="1">
        <v>43041</v>
      </c>
      <c r="F23" s="1">
        <v>43042</v>
      </c>
      <c r="G23" s="1">
        <v>43043</v>
      </c>
      <c r="H23" s="1">
        <v>43044</v>
      </c>
      <c r="I23" s="1">
        <v>43045</v>
      </c>
      <c r="J23" s="1">
        <v>43046</v>
      </c>
      <c r="K23" s="1">
        <v>43047</v>
      </c>
      <c r="L23" s="1">
        <v>43048</v>
      </c>
      <c r="M23" s="1">
        <v>43049</v>
      </c>
      <c r="N23" s="1">
        <v>43050</v>
      </c>
      <c r="O23" s="1">
        <v>43051</v>
      </c>
      <c r="P23" s="1">
        <v>43052</v>
      </c>
      <c r="Q23" s="1">
        <v>43053</v>
      </c>
      <c r="R23" s="1">
        <v>43054</v>
      </c>
      <c r="S23" s="1">
        <v>43055</v>
      </c>
      <c r="T23" s="1">
        <v>43056</v>
      </c>
      <c r="U23" s="1">
        <v>43057</v>
      </c>
      <c r="V23" s="1">
        <v>43058</v>
      </c>
      <c r="W23" s="1">
        <v>43059</v>
      </c>
      <c r="X23" s="1">
        <v>43060</v>
      </c>
      <c r="Y23" s="1">
        <v>43061</v>
      </c>
      <c r="Z23" s="1">
        <v>43062</v>
      </c>
      <c r="AA23" s="1">
        <v>43063</v>
      </c>
      <c r="AB23" s="1">
        <v>43064</v>
      </c>
      <c r="AC23" s="1">
        <v>43065</v>
      </c>
      <c r="AD23" s="1">
        <v>43066</v>
      </c>
      <c r="AE23" s="1">
        <v>43067</v>
      </c>
      <c r="AF23" s="1">
        <v>43068</v>
      </c>
      <c r="AG23" s="1">
        <v>43069</v>
      </c>
    </row>
    <row r="24" spans="2:33" x14ac:dyDescent="0.25">
      <c r="B24" t="str">
        <f>'Suppliers and Pricing'!$B$5</f>
        <v>Vanilla</v>
      </c>
      <c r="C24" s="3">
        <f>'Suppliers and Pricing'!D22</f>
        <v>3.1</v>
      </c>
      <c r="D24">
        <v>20</v>
      </c>
      <c r="E24">
        <v>11</v>
      </c>
      <c r="F24">
        <v>10</v>
      </c>
      <c r="G24">
        <v>16</v>
      </c>
      <c r="H24">
        <v>19</v>
      </c>
      <c r="I24">
        <v>18</v>
      </c>
      <c r="J24">
        <v>10</v>
      </c>
      <c r="K24">
        <v>14</v>
      </c>
      <c r="L24">
        <v>10</v>
      </c>
      <c r="M24">
        <v>13</v>
      </c>
      <c r="N24">
        <v>19</v>
      </c>
      <c r="O24">
        <v>17</v>
      </c>
      <c r="P24">
        <v>15</v>
      </c>
      <c r="Q24">
        <v>12</v>
      </c>
      <c r="R24">
        <v>19</v>
      </c>
      <c r="S24">
        <v>15</v>
      </c>
      <c r="T24">
        <v>24</v>
      </c>
    </row>
    <row r="25" spans="2:33" x14ac:dyDescent="0.25">
      <c r="B25" t="str">
        <f>'Suppliers and Pricing'!$B$6</f>
        <v>Chocolate</v>
      </c>
      <c r="C25" s="3">
        <f>'Suppliers and Pricing'!D23</f>
        <v>3.1</v>
      </c>
      <c r="D25">
        <v>14</v>
      </c>
      <c r="E25">
        <v>10</v>
      </c>
      <c r="F25">
        <v>30</v>
      </c>
      <c r="G25">
        <v>27</v>
      </c>
      <c r="H25">
        <v>20</v>
      </c>
      <c r="I25">
        <v>18</v>
      </c>
      <c r="J25">
        <v>11</v>
      </c>
      <c r="K25">
        <v>12</v>
      </c>
      <c r="L25">
        <v>19</v>
      </c>
      <c r="M25">
        <v>14</v>
      </c>
      <c r="N25">
        <v>11</v>
      </c>
      <c r="O25">
        <v>11</v>
      </c>
      <c r="P25">
        <v>12</v>
      </c>
      <c r="Q25">
        <v>12</v>
      </c>
      <c r="R25">
        <v>16</v>
      </c>
      <c r="S25">
        <v>15</v>
      </c>
      <c r="T25">
        <v>25</v>
      </c>
    </row>
    <row r="26" spans="2:33" x14ac:dyDescent="0.25">
      <c r="B26" t="str">
        <f>'Suppliers and Pricing'!$B$7</f>
        <v>Strawberry</v>
      </c>
      <c r="C26" s="3">
        <f>'Suppliers and Pricing'!D24</f>
        <v>3.1</v>
      </c>
      <c r="D26">
        <v>20</v>
      </c>
      <c r="E26">
        <v>15</v>
      </c>
      <c r="F26">
        <v>23</v>
      </c>
      <c r="G26">
        <v>12</v>
      </c>
      <c r="H26">
        <v>16</v>
      </c>
      <c r="I26">
        <v>15</v>
      </c>
      <c r="J26">
        <v>11</v>
      </c>
      <c r="K26">
        <v>16</v>
      </c>
      <c r="L26">
        <v>11</v>
      </c>
      <c r="M26">
        <v>15</v>
      </c>
      <c r="N26">
        <v>16</v>
      </c>
      <c r="O26">
        <v>12</v>
      </c>
      <c r="P26">
        <v>17</v>
      </c>
      <c r="Q26">
        <v>13</v>
      </c>
      <c r="R26">
        <v>13</v>
      </c>
      <c r="S26">
        <v>10</v>
      </c>
      <c r="T26">
        <v>19</v>
      </c>
    </row>
    <row r="27" spans="2:33" x14ac:dyDescent="0.25">
      <c r="B27" t="str">
        <f>'Suppliers and Pricing'!$B$8</f>
        <v>Cookies and Cream</v>
      </c>
      <c r="C27" s="3">
        <f>'Suppliers and Pricing'!D25</f>
        <v>3.45</v>
      </c>
      <c r="D27">
        <v>19</v>
      </c>
      <c r="E27">
        <v>17</v>
      </c>
      <c r="F27">
        <v>22</v>
      </c>
      <c r="G27">
        <v>26</v>
      </c>
      <c r="H27">
        <v>11</v>
      </c>
      <c r="I27">
        <v>14</v>
      </c>
      <c r="J27">
        <v>14</v>
      </c>
      <c r="K27">
        <v>12</v>
      </c>
      <c r="L27">
        <v>13</v>
      </c>
      <c r="M27">
        <v>24</v>
      </c>
      <c r="N27">
        <v>29</v>
      </c>
      <c r="O27">
        <v>12</v>
      </c>
      <c r="P27">
        <v>20</v>
      </c>
      <c r="Q27">
        <v>19</v>
      </c>
      <c r="R27">
        <v>14</v>
      </c>
      <c r="S27">
        <v>15</v>
      </c>
      <c r="T27">
        <v>26</v>
      </c>
    </row>
    <row r="28" spans="2:33" x14ac:dyDescent="0.25">
      <c r="B28" t="str">
        <f>'Suppliers and Pricing'!$B$9</f>
        <v>Mint Chocolate Chip</v>
      </c>
      <c r="C28" s="3">
        <f>'Suppliers and Pricing'!D26</f>
        <v>3.4</v>
      </c>
      <c r="D28">
        <v>13</v>
      </c>
      <c r="E28">
        <v>12</v>
      </c>
      <c r="F28">
        <v>16</v>
      </c>
      <c r="G28">
        <v>3</v>
      </c>
      <c r="H28">
        <v>11</v>
      </c>
      <c r="I28">
        <v>5</v>
      </c>
      <c r="J28">
        <v>8</v>
      </c>
      <c r="K28">
        <v>1</v>
      </c>
      <c r="L28">
        <v>0</v>
      </c>
      <c r="M28">
        <v>2</v>
      </c>
      <c r="N28">
        <v>12</v>
      </c>
      <c r="O28">
        <v>11</v>
      </c>
      <c r="P28">
        <v>13</v>
      </c>
      <c r="Q28">
        <v>4</v>
      </c>
      <c r="R28">
        <v>4</v>
      </c>
      <c r="S28">
        <v>11</v>
      </c>
      <c r="T28">
        <v>2</v>
      </c>
    </row>
    <row r="29" spans="2:33" x14ac:dyDescent="0.25">
      <c r="B29" t="str">
        <f>'Suppliers and Pricing'!$B$10</f>
        <v>Mint</v>
      </c>
      <c r="C29" s="3">
        <f>'Suppliers and Pricing'!D27</f>
        <v>3.45</v>
      </c>
      <c r="D29">
        <v>10</v>
      </c>
      <c r="E29">
        <v>3</v>
      </c>
      <c r="F29">
        <v>15</v>
      </c>
      <c r="G29">
        <v>14</v>
      </c>
      <c r="H29">
        <v>19</v>
      </c>
      <c r="I29">
        <v>3</v>
      </c>
      <c r="J29">
        <v>0</v>
      </c>
      <c r="K29">
        <v>8</v>
      </c>
      <c r="L29">
        <v>0</v>
      </c>
      <c r="M29">
        <v>9</v>
      </c>
      <c r="N29">
        <v>7</v>
      </c>
      <c r="O29">
        <v>10</v>
      </c>
      <c r="P29">
        <v>7</v>
      </c>
      <c r="Q29">
        <v>11</v>
      </c>
      <c r="R29">
        <v>14</v>
      </c>
      <c r="S29">
        <v>7</v>
      </c>
      <c r="T29">
        <v>4</v>
      </c>
    </row>
    <row r="30" spans="2:33" x14ac:dyDescent="0.25">
      <c r="B30" t="str">
        <f>'Suppliers and Pricing'!$B$11</f>
        <v>Double Chocolate</v>
      </c>
      <c r="C30" s="3">
        <f>'Suppliers and Pricing'!D28</f>
        <v>3.8</v>
      </c>
      <c r="D30">
        <v>0</v>
      </c>
      <c r="E30">
        <v>11</v>
      </c>
      <c r="F30">
        <v>6</v>
      </c>
      <c r="G30">
        <v>16</v>
      </c>
      <c r="H30">
        <v>8</v>
      </c>
      <c r="I30">
        <v>0</v>
      </c>
      <c r="J30">
        <v>12</v>
      </c>
      <c r="K30">
        <v>7</v>
      </c>
      <c r="L30">
        <v>5</v>
      </c>
      <c r="M30">
        <v>3</v>
      </c>
      <c r="N30">
        <v>21</v>
      </c>
      <c r="O30">
        <v>20</v>
      </c>
      <c r="P30">
        <v>6</v>
      </c>
      <c r="Q30">
        <v>0</v>
      </c>
      <c r="R30">
        <v>12</v>
      </c>
      <c r="S30">
        <v>13</v>
      </c>
      <c r="T30">
        <v>15</v>
      </c>
    </row>
    <row r="31" spans="2:33" x14ac:dyDescent="0.25">
      <c r="B31" t="str">
        <f>'Suppliers and Pricing'!$B$12</f>
        <v>Rocky Road</v>
      </c>
      <c r="C31" s="3">
        <f>'Suppliers and Pricing'!D29</f>
        <v>4.25</v>
      </c>
      <c r="D31">
        <v>14</v>
      </c>
      <c r="E31">
        <v>15</v>
      </c>
      <c r="F31">
        <v>8</v>
      </c>
      <c r="G31">
        <v>22</v>
      </c>
      <c r="H31">
        <v>2</v>
      </c>
      <c r="I31">
        <v>1</v>
      </c>
      <c r="J31">
        <v>3</v>
      </c>
      <c r="K31">
        <v>6</v>
      </c>
      <c r="L31">
        <v>10</v>
      </c>
      <c r="M31">
        <v>17</v>
      </c>
      <c r="N31">
        <v>18</v>
      </c>
      <c r="O31">
        <v>10</v>
      </c>
      <c r="P31">
        <v>8</v>
      </c>
      <c r="Q31">
        <v>6</v>
      </c>
      <c r="R31">
        <v>9</v>
      </c>
      <c r="S31">
        <v>7</v>
      </c>
      <c r="T31">
        <v>18</v>
      </c>
    </row>
    <row r="32" spans="2:33" x14ac:dyDescent="0.25">
      <c r="B32" t="str">
        <f>'Suppliers and Pricing'!$B$13</f>
        <v>Fudge Brownie</v>
      </c>
      <c r="C32" s="3">
        <f>'Suppliers and Pricing'!D30</f>
        <v>4.25</v>
      </c>
      <c r="D32">
        <v>5</v>
      </c>
      <c r="E32">
        <v>7</v>
      </c>
      <c r="F32">
        <v>5</v>
      </c>
      <c r="G32">
        <v>12</v>
      </c>
      <c r="H32">
        <v>9</v>
      </c>
      <c r="I32">
        <v>6</v>
      </c>
      <c r="J32">
        <v>8</v>
      </c>
      <c r="K32">
        <v>13</v>
      </c>
      <c r="L32">
        <v>11</v>
      </c>
      <c r="M32">
        <v>7</v>
      </c>
      <c r="N32">
        <v>10</v>
      </c>
      <c r="O32">
        <v>0</v>
      </c>
      <c r="P32">
        <v>11</v>
      </c>
      <c r="Q32">
        <v>14</v>
      </c>
      <c r="R32">
        <v>11</v>
      </c>
      <c r="S32">
        <v>7</v>
      </c>
      <c r="T32">
        <v>20</v>
      </c>
    </row>
    <row r="33" spans="2:33" x14ac:dyDescent="0.25">
      <c r="B33" t="str">
        <f>'Suppliers and Pricing'!$B$14</f>
        <v>Reese's Peanut Butter Cup</v>
      </c>
      <c r="C33" s="3">
        <f>'Suppliers and Pricing'!D31</f>
        <v>4.5</v>
      </c>
      <c r="D33">
        <v>12</v>
      </c>
      <c r="E33">
        <v>15</v>
      </c>
      <c r="F33">
        <v>3</v>
      </c>
      <c r="G33">
        <v>1</v>
      </c>
      <c r="H33">
        <v>12</v>
      </c>
      <c r="I33">
        <v>7</v>
      </c>
      <c r="J33">
        <v>0</v>
      </c>
      <c r="K33">
        <v>15</v>
      </c>
      <c r="L33">
        <v>10</v>
      </c>
      <c r="M33">
        <v>5</v>
      </c>
      <c r="N33">
        <v>12</v>
      </c>
      <c r="O33">
        <v>14</v>
      </c>
      <c r="P33">
        <v>6</v>
      </c>
      <c r="Q33">
        <v>10</v>
      </c>
      <c r="R33">
        <v>14</v>
      </c>
      <c r="S33">
        <v>14</v>
      </c>
      <c r="T33">
        <v>22</v>
      </c>
    </row>
    <row r="34" spans="2:33" s="11" customFormat="1" x14ac:dyDescent="0.25">
      <c r="C34" s="11" t="s">
        <v>41</v>
      </c>
      <c r="D34" s="11">
        <f>SUM(D24:D33)</f>
        <v>127</v>
      </c>
      <c r="E34" s="11">
        <f>SUM(E24:E33)</f>
        <v>116</v>
      </c>
      <c r="F34" s="11">
        <f t="shared" ref="F34" si="29">SUM(F24:F33)</f>
        <v>138</v>
      </c>
      <c r="G34" s="11">
        <f t="shared" ref="G34" si="30">SUM(G24:G33)</f>
        <v>149</v>
      </c>
      <c r="H34" s="11">
        <f t="shared" ref="H34" si="31">SUM(H24:H33)</f>
        <v>127</v>
      </c>
      <c r="I34" s="11">
        <f t="shared" ref="I34" si="32">SUM(I24:I33)</f>
        <v>87</v>
      </c>
      <c r="J34" s="11">
        <f t="shared" ref="J34" si="33">SUM(J24:J33)</f>
        <v>77</v>
      </c>
      <c r="K34" s="11">
        <f t="shared" ref="K34" si="34">SUM(K24:K33)</f>
        <v>104</v>
      </c>
      <c r="L34" s="11">
        <f t="shared" ref="L34" si="35">SUM(L24:L33)</f>
        <v>89</v>
      </c>
      <c r="M34" s="11">
        <f t="shared" ref="M34" si="36">SUM(M24:M33)</f>
        <v>109</v>
      </c>
      <c r="N34" s="11">
        <f t="shared" ref="N34" si="37">SUM(N24:N33)</f>
        <v>155</v>
      </c>
      <c r="O34" s="11">
        <f t="shared" ref="O34" si="38">SUM(O24:O33)</f>
        <v>117</v>
      </c>
      <c r="P34" s="11">
        <f t="shared" ref="P34" si="39">SUM(P24:P33)</f>
        <v>115</v>
      </c>
      <c r="Q34" s="11">
        <f t="shared" ref="Q34" si="40">SUM(Q24:Q33)</f>
        <v>101</v>
      </c>
      <c r="R34" s="11">
        <f t="shared" ref="R34" si="41">SUM(R24:R33)</f>
        <v>126</v>
      </c>
      <c r="S34" s="11">
        <f t="shared" ref="S34" si="42">SUM(S24:S33)</f>
        <v>114</v>
      </c>
      <c r="T34" s="11">
        <f t="shared" ref="T34" si="43">SUM(T24:T33)</f>
        <v>175</v>
      </c>
      <c r="U34" s="11">
        <f t="shared" ref="U34" si="44">SUM(U24:U33)</f>
        <v>0</v>
      </c>
      <c r="V34" s="11">
        <f t="shared" ref="V34" si="45">SUM(V24:V33)</f>
        <v>0</v>
      </c>
      <c r="W34" s="11">
        <f t="shared" ref="W34" si="46">SUM(W24:W33)</f>
        <v>0</v>
      </c>
      <c r="X34" s="11">
        <f t="shared" ref="X34" si="47">SUM(X24:X33)</f>
        <v>0</v>
      </c>
      <c r="Y34" s="11">
        <f t="shared" ref="Y34" si="48">SUM(Y24:Y33)</f>
        <v>0</v>
      </c>
      <c r="Z34" s="11">
        <f t="shared" ref="Z34" si="49">SUM(Z24:Z33)</f>
        <v>0</v>
      </c>
      <c r="AA34" s="11">
        <f t="shared" ref="AA34" si="50">SUM(AA24:AA33)</f>
        <v>0</v>
      </c>
      <c r="AB34" s="11">
        <f t="shared" ref="AB34" si="51">SUM(AB24:AB33)</f>
        <v>0</v>
      </c>
      <c r="AC34" s="11">
        <f t="shared" ref="AC34" si="52">SUM(AC24:AC33)</f>
        <v>0</v>
      </c>
      <c r="AD34" s="11">
        <f t="shared" ref="AD34" si="53">SUM(AD24:AD33)</f>
        <v>0</v>
      </c>
      <c r="AE34" s="11">
        <f t="shared" ref="AE34" si="54">SUM(AE24:AE33)</f>
        <v>0</v>
      </c>
      <c r="AF34" s="11">
        <f t="shared" ref="AF34" si="55">SUM(AF24:AF33)</f>
        <v>0</v>
      </c>
      <c r="AG34" s="11">
        <f t="shared" ref="AG34" si="56">SUM(AG24:AG33)</f>
        <v>0</v>
      </c>
    </row>
    <row r="35" spans="2:33" s="10" customFormat="1" x14ac:dyDescent="0.25">
      <c r="C35" s="10" t="s">
        <v>42</v>
      </c>
      <c r="D35" s="13">
        <f>($C24*D24)+($C25*D25)+($C26*D26)+($C27*D27)+($C28*D28)+($C29*D29)+($C30*D30)+($C31*D31)+($C32*D32)+($C33*D33)</f>
        <v>446.4</v>
      </c>
      <c r="E35" s="13">
        <f>($C24*E24)+($C25*E25)+($C26*E26)+($C27*E27)+($C28*E28)+($C29*E29)+($C30*E30)+($C31*E31)+($C32*E32)+($C33*E33)</f>
        <v>424.2</v>
      </c>
      <c r="F35" s="13">
        <f t="shared" ref="F35:AG35" si="57">($C24*F24)+($C25*F25)+($C26*F26)+($C27*F27)+($C28*F28)+($C29*F29)+($C30*F30)+($C31*F31)+($C32*F32)+($C33*F33)</f>
        <v>468.90000000000003</v>
      </c>
      <c r="G35" s="13">
        <f t="shared" si="57"/>
        <v>528.5</v>
      </c>
      <c r="H35" s="13">
        <f t="shared" si="57"/>
        <v>442.54999999999995</v>
      </c>
      <c r="I35" s="13">
        <f t="shared" si="57"/>
        <v>295</v>
      </c>
      <c r="J35" s="13">
        <f t="shared" si="57"/>
        <v>267.04999999999995</v>
      </c>
      <c r="K35" s="13">
        <f t="shared" si="57"/>
        <v>377.45</v>
      </c>
      <c r="L35" s="13">
        <f t="shared" si="57"/>
        <v>322.10000000000002</v>
      </c>
      <c r="M35" s="13">
        <f t="shared" si="57"/>
        <v>386.75</v>
      </c>
      <c r="N35" s="13">
        <f t="shared" si="57"/>
        <v>560.4</v>
      </c>
      <c r="O35" s="13">
        <f t="shared" si="57"/>
        <v>418.80000000000007</v>
      </c>
      <c r="P35" s="13">
        <f t="shared" si="57"/>
        <v>404.3</v>
      </c>
      <c r="Q35" s="13">
        <f t="shared" si="57"/>
        <v>361.8</v>
      </c>
      <c r="R35" s="13">
        <f t="shared" si="57"/>
        <v>452.6</v>
      </c>
      <c r="S35" s="13">
        <f t="shared" si="57"/>
        <v>409.2</v>
      </c>
      <c r="T35" s="13">
        <f t="shared" si="57"/>
        <v>638.6</v>
      </c>
      <c r="U35" s="13">
        <f t="shared" si="57"/>
        <v>0</v>
      </c>
      <c r="V35" s="13">
        <f t="shared" si="57"/>
        <v>0</v>
      </c>
      <c r="W35" s="13">
        <f t="shared" si="57"/>
        <v>0</v>
      </c>
      <c r="X35" s="13">
        <f t="shared" si="57"/>
        <v>0</v>
      </c>
      <c r="Y35" s="13">
        <f t="shared" si="57"/>
        <v>0</v>
      </c>
      <c r="Z35" s="13">
        <f t="shared" si="57"/>
        <v>0</v>
      </c>
      <c r="AA35" s="13">
        <f t="shared" si="57"/>
        <v>0</v>
      </c>
      <c r="AB35" s="13">
        <f t="shared" si="57"/>
        <v>0</v>
      </c>
      <c r="AC35" s="13">
        <f t="shared" si="57"/>
        <v>0</v>
      </c>
      <c r="AD35" s="13">
        <f t="shared" si="57"/>
        <v>0</v>
      </c>
      <c r="AE35" s="13">
        <f t="shared" si="57"/>
        <v>0</v>
      </c>
      <c r="AF35" s="13">
        <f t="shared" si="57"/>
        <v>0</v>
      </c>
      <c r="AG35" s="13">
        <f t="shared" si="57"/>
        <v>0</v>
      </c>
    </row>
    <row r="37" spans="2:33" x14ac:dyDescent="0.25">
      <c r="B37" s="6" t="s">
        <v>22</v>
      </c>
      <c r="C37" s="6"/>
      <c r="D37" s="12" t="s">
        <v>34</v>
      </c>
      <c r="E37" s="12" t="s">
        <v>35</v>
      </c>
      <c r="F37" s="12" t="s">
        <v>36</v>
      </c>
      <c r="G37" s="12" t="s">
        <v>37</v>
      </c>
      <c r="H37" s="12" t="s">
        <v>38</v>
      </c>
      <c r="I37" s="12" t="s">
        <v>39</v>
      </c>
      <c r="J37" s="12" t="s">
        <v>40</v>
      </c>
      <c r="K37" s="12" t="s">
        <v>34</v>
      </c>
      <c r="L37" s="12" t="s">
        <v>35</v>
      </c>
      <c r="M37" s="12" t="s">
        <v>36</v>
      </c>
      <c r="N37" s="12" t="s">
        <v>37</v>
      </c>
      <c r="O37" s="12" t="s">
        <v>38</v>
      </c>
      <c r="P37" s="12" t="s">
        <v>39</v>
      </c>
      <c r="Q37" s="12" t="s">
        <v>40</v>
      </c>
      <c r="R37" s="12" t="s">
        <v>34</v>
      </c>
      <c r="S37" s="12" t="s">
        <v>35</v>
      </c>
      <c r="T37" s="12" t="s">
        <v>36</v>
      </c>
      <c r="U37" s="12" t="s">
        <v>37</v>
      </c>
      <c r="V37" s="12" t="s">
        <v>38</v>
      </c>
      <c r="W37" s="12" t="s">
        <v>39</v>
      </c>
      <c r="X37" s="12" t="s">
        <v>40</v>
      </c>
      <c r="Y37" s="12" t="s">
        <v>34</v>
      </c>
      <c r="Z37" s="12" t="s">
        <v>35</v>
      </c>
      <c r="AA37" s="12" t="s">
        <v>36</v>
      </c>
      <c r="AB37" s="12" t="s">
        <v>37</v>
      </c>
      <c r="AC37" s="12" t="s">
        <v>38</v>
      </c>
      <c r="AD37" s="12" t="s">
        <v>39</v>
      </c>
      <c r="AE37" s="12" t="s">
        <v>40</v>
      </c>
      <c r="AF37" s="12" t="s">
        <v>34</v>
      </c>
      <c r="AG37" s="12" t="s">
        <v>35</v>
      </c>
    </row>
    <row r="38" spans="2:33" x14ac:dyDescent="0.25">
      <c r="B38" t="s">
        <v>8</v>
      </c>
      <c r="D38" s="1">
        <v>43040</v>
      </c>
      <c r="E38" s="1">
        <v>43041</v>
      </c>
      <c r="F38" s="1">
        <v>43042</v>
      </c>
      <c r="G38" s="1">
        <v>43043</v>
      </c>
      <c r="H38" s="1">
        <v>43044</v>
      </c>
      <c r="I38" s="1">
        <v>43045</v>
      </c>
      <c r="J38" s="1">
        <v>43046</v>
      </c>
      <c r="K38" s="1">
        <v>43047</v>
      </c>
      <c r="L38" s="1">
        <v>43048</v>
      </c>
      <c r="M38" s="1">
        <v>43049</v>
      </c>
      <c r="N38" s="1">
        <v>43050</v>
      </c>
      <c r="O38" s="1">
        <v>43051</v>
      </c>
      <c r="P38" s="1">
        <v>43052</v>
      </c>
      <c r="Q38" s="1">
        <v>43053</v>
      </c>
      <c r="R38" s="1">
        <v>43054</v>
      </c>
      <c r="S38" s="1">
        <v>43055</v>
      </c>
      <c r="T38" s="1">
        <v>43056</v>
      </c>
      <c r="U38" s="1">
        <v>43057</v>
      </c>
      <c r="V38" s="1">
        <v>43058</v>
      </c>
      <c r="W38" s="1">
        <v>43059</v>
      </c>
      <c r="X38" s="1">
        <v>43060</v>
      </c>
      <c r="Y38" s="1">
        <v>43061</v>
      </c>
      <c r="Z38" s="1">
        <v>43062</v>
      </c>
      <c r="AA38" s="1">
        <v>43063</v>
      </c>
      <c r="AB38" s="1">
        <v>43064</v>
      </c>
      <c r="AC38" s="1">
        <v>43065</v>
      </c>
      <c r="AD38" s="1">
        <v>43066</v>
      </c>
      <c r="AE38" s="1">
        <v>43067</v>
      </c>
      <c r="AF38" s="1">
        <v>43068</v>
      </c>
      <c r="AG38" s="1">
        <v>43069</v>
      </c>
    </row>
    <row r="39" spans="2:33" x14ac:dyDescent="0.25">
      <c r="B39" t="str">
        <f>'Suppliers and Pricing'!$B$5</f>
        <v>Vanilla</v>
      </c>
      <c r="C39" s="3">
        <f>'Suppliers and Pricing'!E22</f>
        <v>3.1</v>
      </c>
      <c r="D39">
        <v>18</v>
      </c>
      <c r="E39">
        <v>19</v>
      </c>
      <c r="F39">
        <v>15</v>
      </c>
      <c r="G39">
        <v>16</v>
      </c>
      <c r="H39">
        <v>10</v>
      </c>
      <c r="I39">
        <v>10</v>
      </c>
      <c r="J39">
        <v>13</v>
      </c>
      <c r="K39">
        <v>13</v>
      </c>
      <c r="L39">
        <v>12</v>
      </c>
      <c r="M39">
        <v>25</v>
      </c>
      <c r="N39">
        <v>22</v>
      </c>
      <c r="O39">
        <v>18</v>
      </c>
      <c r="P39">
        <v>11</v>
      </c>
      <c r="Q39">
        <v>18</v>
      </c>
      <c r="R39">
        <v>16</v>
      </c>
      <c r="S39">
        <v>11</v>
      </c>
      <c r="T39">
        <v>20</v>
      </c>
    </row>
    <row r="40" spans="2:33" x14ac:dyDescent="0.25">
      <c r="B40" t="str">
        <f>'Suppliers and Pricing'!$B$6</f>
        <v>Chocolate</v>
      </c>
      <c r="C40" s="3">
        <f>'Suppliers and Pricing'!E23</f>
        <v>3.1</v>
      </c>
      <c r="D40">
        <v>18</v>
      </c>
      <c r="E40">
        <v>19</v>
      </c>
      <c r="F40">
        <v>17</v>
      </c>
      <c r="G40">
        <v>12</v>
      </c>
      <c r="H40">
        <v>25</v>
      </c>
      <c r="I40">
        <v>17</v>
      </c>
      <c r="J40">
        <v>18</v>
      </c>
      <c r="K40">
        <v>20</v>
      </c>
      <c r="L40">
        <v>10</v>
      </c>
      <c r="M40">
        <v>17</v>
      </c>
      <c r="N40">
        <v>14</v>
      </c>
      <c r="O40">
        <v>27</v>
      </c>
      <c r="P40">
        <v>16</v>
      </c>
      <c r="Q40">
        <v>13</v>
      </c>
      <c r="R40">
        <v>18</v>
      </c>
      <c r="S40">
        <v>15</v>
      </c>
      <c r="T40">
        <v>25</v>
      </c>
    </row>
    <row r="41" spans="2:33" x14ac:dyDescent="0.25">
      <c r="B41" t="str">
        <f>'Suppliers and Pricing'!$B$7</f>
        <v>Strawberry</v>
      </c>
      <c r="C41" s="3">
        <f>'Suppliers and Pricing'!E24</f>
        <v>3.1</v>
      </c>
      <c r="D41">
        <v>17</v>
      </c>
      <c r="E41">
        <v>19</v>
      </c>
      <c r="F41">
        <v>14</v>
      </c>
      <c r="G41">
        <v>18</v>
      </c>
      <c r="H41">
        <v>16</v>
      </c>
      <c r="I41">
        <v>17</v>
      </c>
      <c r="J41">
        <v>16</v>
      </c>
      <c r="K41">
        <v>17</v>
      </c>
      <c r="L41">
        <v>10</v>
      </c>
      <c r="M41">
        <v>23</v>
      </c>
      <c r="N41">
        <v>24</v>
      </c>
      <c r="O41">
        <v>22</v>
      </c>
      <c r="P41">
        <v>14</v>
      </c>
      <c r="Q41">
        <v>12</v>
      </c>
      <c r="R41">
        <v>10</v>
      </c>
      <c r="S41">
        <v>20</v>
      </c>
      <c r="T41">
        <v>23</v>
      </c>
    </row>
    <row r="42" spans="2:33" x14ac:dyDescent="0.25">
      <c r="B42" t="str">
        <f>'Suppliers and Pricing'!$B$8</f>
        <v>Cookies and Cream</v>
      </c>
      <c r="C42" s="3">
        <f>'Suppliers and Pricing'!E25</f>
        <v>3.2</v>
      </c>
      <c r="D42">
        <v>12</v>
      </c>
      <c r="E42">
        <v>18</v>
      </c>
      <c r="F42">
        <v>30</v>
      </c>
      <c r="G42">
        <v>16</v>
      </c>
      <c r="H42">
        <v>25</v>
      </c>
      <c r="I42">
        <v>20</v>
      </c>
      <c r="J42">
        <v>10</v>
      </c>
      <c r="K42">
        <v>16</v>
      </c>
      <c r="L42">
        <v>10</v>
      </c>
      <c r="M42">
        <v>21</v>
      </c>
      <c r="N42">
        <v>22</v>
      </c>
      <c r="O42">
        <v>26</v>
      </c>
      <c r="P42">
        <v>17</v>
      </c>
      <c r="Q42">
        <v>14</v>
      </c>
      <c r="R42">
        <v>19</v>
      </c>
      <c r="S42">
        <v>13</v>
      </c>
      <c r="T42">
        <v>24</v>
      </c>
    </row>
    <row r="43" spans="2:33" x14ac:dyDescent="0.25">
      <c r="B43" t="str">
        <f>'Suppliers and Pricing'!$B$9</f>
        <v>Mint Chocolate Chip</v>
      </c>
      <c r="C43" s="3">
        <f>'Suppliers and Pricing'!E26</f>
        <v>3.6</v>
      </c>
      <c r="D43">
        <v>6</v>
      </c>
      <c r="E43">
        <v>15</v>
      </c>
      <c r="F43">
        <v>9</v>
      </c>
      <c r="G43">
        <v>13</v>
      </c>
      <c r="H43">
        <v>21</v>
      </c>
      <c r="I43">
        <v>6</v>
      </c>
      <c r="J43">
        <v>11</v>
      </c>
      <c r="K43">
        <v>5</v>
      </c>
      <c r="L43">
        <v>7</v>
      </c>
      <c r="M43">
        <v>19</v>
      </c>
      <c r="N43">
        <v>19</v>
      </c>
      <c r="O43">
        <v>4</v>
      </c>
      <c r="P43">
        <v>5</v>
      </c>
      <c r="Q43">
        <v>14</v>
      </c>
      <c r="R43">
        <v>4</v>
      </c>
      <c r="S43">
        <v>3</v>
      </c>
      <c r="T43">
        <v>14</v>
      </c>
    </row>
    <row r="44" spans="2:33" x14ac:dyDescent="0.25">
      <c r="B44" t="str">
        <f>'Suppliers and Pricing'!$B$10</f>
        <v>Mint</v>
      </c>
      <c r="C44" s="3">
        <f>'Suppliers and Pricing'!E27</f>
        <v>3.5</v>
      </c>
      <c r="D44">
        <v>7</v>
      </c>
      <c r="E44">
        <v>0</v>
      </c>
      <c r="F44">
        <v>9</v>
      </c>
      <c r="G44">
        <v>2</v>
      </c>
      <c r="H44">
        <v>17</v>
      </c>
      <c r="I44">
        <v>6</v>
      </c>
      <c r="J44">
        <v>14</v>
      </c>
      <c r="K44">
        <v>5</v>
      </c>
      <c r="L44">
        <v>3</v>
      </c>
      <c r="M44">
        <v>8</v>
      </c>
      <c r="N44">
        <v>2</v>
      </c>
      <c r="O44">
        <v>13</v>
      </c>
      <c r="P44">
        <v>6</v>
      </c>
      <c r="Q44">
        <v>4</v>
      </c>
      <c r="R44">
        <v>15</v>
      </c>
      <c r="S44">
        <v>12</v>
      </c>
      <c r="T44">
        <v>24</v>
      </c>
    </row>
    <row r="45" spans="2:33" x14ac:dyDescent="0.25">
      <c r="B45" t="str">
        <f>'Suppliers and Pricing'!$B$11</f>
        <v>Double Chocolate</v>
      </c>
      <c r="C45" s="3">
        <f>'Suppliers and Pricing'!E28</f>
        <v>3.9</v>
      </c>
      <c r="D45">
        <v>6</v>
      </c>
      <c r="E45">
        <v>10</v>
      </c>
      <c r="F45">
        <v>5</v>
      </c>
      <c r="G45">
        <v>12</v>
      </c>
      <c r="H45">
        <v>7</v>
      </c>
      <c r="I45">
        <v>5</v>
      </c>
      <c r="J45">
        <v>1</v>
      </c>
      <c r="K45">
        <v>10</v>
      </c>
      <c r="L45">
        <v>0</v>
      </c>
      <c r="M45">
        <v>25</v>
      </c>
      <c r="N45">
        <v>13</v>
      </c>
      <c r="O45">
        <v>12</v>
      </c>
      <c r="P45">
        <v>4</v>
      </c>
      <c r="Q45">
        <v>10</v>
      </c>
      <c r="R45">
        <v>9</v>
      </c>
      <c r="S45">
        <v>2</v>
      </c>
      <c r="T45">
        <v>25</v>
      </c>
    </row>
    <row r="46" spans="2:33" x14ac:dyDescent="0.25">
      <c r="B46" t="str">
        <f>'Suppliers and Pricing'!$B$12</f>
        <v>Rocky Road</v>
      </c>
      <c r="C46" s="3">
        <f>'Suppliers and Pricing'!E29</f>
        <v>4.25</v>
      </c>
      <c r="D46">
        <v>0</v>
      </c>
      <c r="E46">
        <v>12</v>
      </c>
      <c r="F46">
        <v>25</v>
      </c>
      <c r="G46">
        <v>15</v>
      </c>
      <c r="H46">
        <v>14</v>
      </c>
      <c r="I46">
        <v>14</v>
      </c>
      <c r="J46">
        <v>2</v>
      </c>
      <c r="K46">
        <v>9</v>
      </c>
      <c r="L46">
        <v>15</v>
      </c>
      <c r="M46">
        <v>1</v>
      </c>
      <c r="N46">
        <v>22</v>
      </c>
      <c r="O46">
        <v>15</v>
      </c>
      <c r="P46">
        <v>11</v>
      </c>
      <c r="Q46">
        <v>6</v>
      </c>
      <c r="R46">
        <v>6</v>
      </c>
      <c r="S46">
        <v>10</v>
      </c>
      <c r="T46">
        <v>24</v>
      </c>
    </row>
    <row r="47" spans="2:33" x14ac:dyDescent="0.25">
      <c r="B47" t="str">
        <f>'Suppliers and Pricing'!$B$13</f>
        <v>Fudge Brownie</v>
      </c>
      <c r="C47" s="3">
        <f>'Suppliers and Pricing'!E30</f>
        <v>4.3</v>
      </c>
      <c r="D47">
        <v>13</v>
      </c>
      <c r="E47">
        <v>15</v>
      </c>
      <c r="F47">
        <v>4</v>
      </c>
      <c r="G47">
        <v>3</v>
      </c>
      <c r="H47">
        <v>10</v>
      </c>
      <c r="I47">
        <v>15</v>
      </c>
      <c r="J47">
        <v>11</v>
      </c>
      <c r="K47">
        <v>0</v>
      </c>
      <c r="L47">
        <v>4</v>
      </c>
      <c r="M47">
        <v>21</v>
      </c>
      <c r="N47">
        <v>14</v>
      </c>
      <c r="O47">
        <v>21</v>
      </c>
      <c r="P47">
        <v>5</v>
      </c>
      <c r="Q47">
        <v>4</v>
      </c>
      <c r="R47">
        <v>6</v>
      </c>
      <c r="S47">
        <v>8</v>
      </c>
      <c r="T47">
        <v>24</v>
      </c>
    </row>
    <row r="48" spans="2:33" x14ac:dyDescent="0.25">
      <c r="B48" t="str">
        <f>'Suppliers and Pricing'!$B$14</f>
        <v>Reese's Peanut Butter Cup</v>
      </c>
      <c r="C48" s="3">
        <f>'Suppliers and Pricing'!E31</f>
        <v>4.5</v>
      </c>
      <c r="D48">
        <v>12</v>
      </c>
      <c r="E48">
        <v>1</v>
      </c>
      <c r="F48">
        <v>6</v>
      </c>
      <c r="G48">
        <v>18</v>
      </c>
      <c r="H48">
        <v>16</v>
      </c>
      <c r="I48">
        <v>13</v>
      </c>
      <c r="J48">
        <v>13</v>
      </c>
      <c r="K48">
        <v>14</v>
      </c>
      <c r="L48">
        <v>14</v>
      </c>
      <c r="M48">
        <v>10</v>
      </c>
      <c r="N48">
        <v>6</v>
      </c>
      <c r="O48">
        <v>4</v>
      </c>
      <c r="P48">
        <v>7</v>
      </c>
      <c r="Q48">
        <v>0</v>
      </c>
      <c r="R48">
        <v>14</v>
      </c>
      <c r="S48">
        <v>12</v>
      </c>
      <c r="T48">
        <v>14</v>
      </c>
    </row>
    <row r="49" spans="2:33" s="11" customFormat="1" x14ac:dyDescent="0.25">
      <c r="C49" s="11" t="s">
        <v>41</v>
      </c>
      <c r="D49" s="11">
        <f>SUM(D39:D48)</f>
        <v>109</v>
      </c>
      <c r="E49" s="11">
        <f>SUM(E39:E48)</f>
        <v>128</v>
      </c>
      <c r="F49" s="11">
        <f t="shared" ref="F49" si="58">SUM(F39:F48)</f>
        <v>134</v>
      </c>
      <c r="G49" s="11">
        <f t="shared" ref="G49" si="59">SUM(G39:G48)</f>
        <v>125</v>
      </c>
      <c r="H49" s="11">
        <f t="shared" ref="H49" si="60">SUM(H39:H48)</f>
        <v>161</v>
      </c>
      <c r="I49" s="11">
        <f t="shared" ref="I49" si="61">SUM(I39:I48)</f>
        <v>123</v>
      </c>
      <c r="J49" s="11">
        <f t="shared" ref="J49" si="62">SUM(J39:J48)</f>
        <v>109</v>
      </c>
      <c r="K49" s="11">
        <f t="shared" ref="K49" si="63">SUM(K39:K48)</f>
        <v>109</v>
      </c>
      <c r="L49" s="11">
        <f t="shared" ref="L49" si="64">SUM(L39:L48)</f>
        <v>85</v>
      </c>
      <c r="M49" s="11">
        <f t="shared" ref="M49" si="65">SUM(M39:M48)</f>
        <v>170</v>
      </c>
      <c r="N49" s="11">
        <f t="shared" ref="N49" si="66">SUM(N39:N48)</f>
        <v>158</v>
      </c>
      <c r="O49" s="11">
        <f t="shared" ref="O49" si="67">SUM(O39:O48)</f>
        <v>162</v>
      </c>
      <c r="P49" s="11">
        <f t="shared" ref="P49" si="68">SUM(P39:P48)</f>
        <v>96</v>
      </c>
      <c r="Q49" s="11">
        <f t="shared" ref="Q49" si="69">SUM(Q39:Q48)</f>
        <v>95</v>
      </c>
      <c r="R49" s="11">
        <f t="shared" ref="R49" si="70">SUM(R39:R48)</f>
        <v>117</v>
      </c>
      <c r="S49" s="11">
        <f t="shared" ref="S49" si="71">SUM(S39:S48)</f>
        <v>106</v>
      </c>
      <c r="T49" s="11">
        <f t="shared" ref="T49" si="72">SUM(T39:T48)</f>
        <v>217</v>
      </c>
      <c r="U49" s="11">
        <f t="shared" ref="U49" si="73">SUM(U39:U48)</f>
        <v>0</v>
      </c>
      <c r="V49" s="11">
        <f t="shared" ref="V49" si="74">SUM(V39:V48)</f>
        <v>0</v>
      </c>
      <c r="W49" s="11">
        <f t="shared" ref="W49" si="75">SUM(W39:W48)</f>
        <v>0</v>
      </c>
      <c r="X49" s="11">
        <f t="shared" ref="X49" si="76">SUM(X39:X48)</f>
        <v>0</v>
      </c>
      <c r="Y49" s="11">
        <f t="shared" ref="Y49" si="77">SUM(Y39:Y48)</f>
        <v>0</v>
      </c>
      <c r="Z49" s="11">
        <f t="shared" ref="Z49" si="78">SUM(Z39:Z48)</f>
        <v>0</v>
      </c>
      <c r="AA49" s="11">
        <f t="shared" ref="AA49" si="79">SUM(AA39:AA48)</f>
        <v>0</v>
      </c>
      <c r="AB49" s="11">
        <f t="shared" ref="AB49" si="80">SUM(AB39:AB48)</f>
        <v>0</v>
      </c>
      <c r="AC49" s="11">
        <f t="shared" ref="AC49" si="81">SUM(AC39:AC48)</f>
        <v>0</v>
      </c>
      <c r="AD49" s="11">
        <f t="shared" ref="AD49" si="82">SUM(AD39:AD48)</f>
        <v>0</v>
      </c>
      <c r="AE49" s="11">
        <f t="shared" ref="AE49" si="83">SUM(AE39:AE48)</f>
        <v>0</v>
      </c>
      <c r="AF49" s="11">
        <f t="shared" ref="AF49" si="84">SUM(AF39:AF48)</f>
        <v>0</v>
      </c>
      <c r="AG49" s="11">
        <f t="shared" ref="AG49" si="85">SUM(AG39:AG48)</f>
        <v>0</v>
      </c>
    </row>
    <row r="50" spans="2:33" s="10" customFormat="1" x14ac:dyDescent="0.25">
      <c r="C50" s="10" t="s">
        <v>42</v>
      </c>
      <c r="D50" s="13">
        <f>($C39*D39)+($C40*D40)+($C41*D41)+($C42*D42)+($C43*D43)+($C44*D44)+($C45*D45)+($C46*D46)+($C47*D47)+($C48*D48)</f>
        <v>382.09999999999997</v>
      </c>
      <c r="E50" s="13">
        <f>($C39*E39)+($C40*E40)+($C41*E41)+($C42*E42)+($C43*E43)+($C44*E44)+($C45*E45)+($C46*E46)+($C47*E47)+($C48*E48)</f>
        <v>447.29999999999995</v>
      </c>
      <c r="F50" s="13">
        <f t="shared" ref="F50:AG50" si="86">($C39*F39)+($C40*F40)+($C41*F41)+($C42*F42)+($C43*F43)+($C44*F44)+($C45*F45)+($C46*F46)+($C47*F47)+($C48*F48)</f>
        <v>472.45</v>
      </c>
      <c r="G50" s="13">
        <f t="shared" si="86"/>
        <v>452.05</v>
      </c>
      <c r="H50" s="13">
        <f t="shared" si="86"/>
        <v>575</v>
      </c>
      <c r="I50" s="13">
        <f t="shared" si="86"/>
        <v>445</v>
      </c>
      <c r="J50" s="13">
        <f t="shared" si="86"/>
        <v>384.5</v>
      </c>
      <c r="K50" s="13">
        <f t="shared" si="86"/>
        <v>381.95</v>
      </c>
      <c r="L50" s="13">
        <f t="shared" si="86"/>
        <v>310.84999999999997</v>
      </c>
      <c r="M50" s="13">
        <f t="shared" si="86"/>
        <v>602.15</v>
      </c>
      <c r="N50" s="13">
        <f t="shared" si="86"/>
        <v>563.19999999999993</v>
      </c>
      <c r="O50" s="13">
        <f t="shared" si="86"/>
        <v>569.65</v>
      </c>
      <c r="P50" s="13">
        <f t="shared" si="86"/>
        <v>335.85</v>
      </c>
      <c r="Q50" s="13">
        <f t="shared" si="86"/>
        <v>324.2</v>
      </c>
      <c r="R50" s="13">
        <f t="shared" si="86"/>
        <v>413.50000000000006</v>
      </c>
      <c r="S50" s="13">
        <f t="shared" si="86"/>
        <v>375.7</v>
      </c>
      <c r="T50" s="13">
        <f t="shared" si="86"/>
        <v>787.7</v>
      </c>
      <c r="U50" s="13">
        <f t="shared" si="86"/>
        <v>0</v>
      </c>
      <c r="V50" s="13">
        <f t="shared" si="86"/>
        <v>0</v>
      </c>
      <c r="W50" s="13">
        <f t="shared" si="86"/>
        <v>0</v>
      </c>
      <c r="X50" s="13">
        <f t="shared" si="86"/>
        <v>0</v>
      </c>
      <c r="Y50" s="13">
        <f t="shared" si="86"/>
        <v>0</v>
      </c>
      <c r="Z50" s="13">
        <f t="shared" si="86"/>
        <v>0</v>
      </c>
      <c r="AA50" s="13">
        <f t="shared" si="86"/>
        <v>0</v>
      </c>
      <c r="AB50" s="13">
        <f t="shared" si="86"/>
        <v>0</v>
      </c>
      <c r="AC50" s="13">
        <f t="shared" si="86"/>
        <v>0</v>
      </c>
      <c r="AD50" s="13">
        <f t="shared" si="86"/>
        <v>0</v>
      </c>
      <c r="AE50" s="13">
        <f t="shared" si="86"/>
        <v>0</v>
      </c>
      <c r="AF50" s="13">
        <f t="shared" si="86"/>
        <v>0</v>
      </c>
      <c r="AG50" s="13">
        <f t="shared" si="86"/>
        <v>0</v>
      </c>
    </row>
    <row r="52" spans="2:33" x14ac:dyDescent="0.25">
      <c r="B52" s="6" t="s">
        <v>23</v>
      </c>
      <c r="C52" s="6"/>
      <c r="D52" s="12" t="s">
        <v>34</v>
      </c>
      <c r="E52" s="12" t="s">
        <v>35</v>
      </c>
      <c r="F52" s="12" t="s">
        <v>36</v>
      </c>
      <c r="G52" s="12" t="s">
        <v>37</v>
      </c>
      <c r="H52" s="12" t="s">
        <v>38</v>
      </c>
      <c r="I52" s="12" t="s">
        <v>39</v>
      </c>
      <c r="J52" s="12" t="s">
        <v>40</v>
      </c>
      <c r="K52" s="12" t="s">
        <v>34</v>
      </c>
      <c r="L52" s="12" t="s">
        <v>35</v>
      </c>
      <c r="M52" s="12" t="s">
        <v>36</v>
      </c>
      <c r="N52" s="12" t="s">
        <v>37</v>
      </c>
      <c r="O52" s="12" t="s">
        <v>38</v>
      </c>
      <c r="P52" s="12" t="s">
        <v>39</v>
      </c>
      <c r="Q52" s="12" t="s">
        <v>40</v>
      </c>
      <c r="R52" s="12" t="s">
        <v>34</v>
      </c>
      <c r="S52" s="12" t="s">
        <v>35</v>
      </c>
      <c r="T52" s="12" t="s">
        <v>36</v>
      </c>
      <c r="U52" s="12" t="s">
        <v>37</v>
      </c>
      <c r="V52" s="12" t="s">
        <v>38</v>
      </c>
      <c r="W52" s="12" t="s">
        <v>39</v>
      </c>
      <c r="X52" s="12" t="s">
        <v>40</v>
      </c>
      <c r="Y52" s="12" t="s">
        <v>34</v>
      </c>
      <c r="Z52" s="12" t="s">
        <v>35</v>
      </c>
      <c r="AA52" s="12" t="s">
        <v>36</v>
      </c>
      <c r="AB52" s="12" t="s">
        <v>37</v>
      </c>
      <c r="AC52" s="12" t="s">
        <v>38</v>
      </c>
      <c r="AD52" s="12" t="s">
        <v>39</v>
      </c>
      <c r="AE52" s="12" t="s">
        <v>40</v>
      </c>
      <c r="AF52" s="12" t="s">
        <v>34</v>
      </c>
      <c r="AG52" s="12" t="s">
        <v>35</v>
      </c>
    </row>
    <row r="53" spans="2:33" x14ac:dyDescent="0.25">
      <c r="B53" t="s">
        <v>8</v>
      </c>
      <c r="D53" s="1">
        <v>43040</v>
      </c>
      <c r="E53" s="1">
        <v>43041</v>
      </c>
      <c r="F53" s="1">
        <v>43042</v>
      </c>
      <c r="G53" s="1">
        <v>43043</v>
      </c>
      <c r="H53" s="1">
        <v>43044</v>
      </c>
      <c r="I53" s="1">
        <v>43045</v>
      </c>
      <c r="J53" s="1">
        <v>43046</v>
      </c>
      <c r="K53" s="1">
        <v>43047</v>
      </c>
      <c r="L53" s="1">
        <v>43048</v>
      </c>
      <c r="M53" s="1">
        <v>43049</v>
      </c>
      <c r="N53" s="1">
        <v>43050</v>
      </c>
      <c r="O53" s="1">
        <v>43051</v>
      </c>
      <c r="P53" s="1">
        <v>43052</v>
      </c>
      <c r="Q53" s="1">
        <v>43053</v>
      </c>
      <c r="R53" s="1">
        <v>43054</v>
      </c>
      <c r="S53" s="1">
        <v>43055</v>
      </c>
      <c r="T53" s="1">
        <v>43056</v>
      </c>
      <c r="U53" s="1">
        <v>43057</v>
      </c>
      <c r="V53" s="1">
        <v>43058</v>
      </c>
      <c r="W53" s="1">
        <v>43059</v>
      </c>
      <c r="X53" s="1">
        <v>43060</v>
      </c>
      <c r="Y53" s="1">
        <v>43061</v>
      </c>
      <c r="Z53" s="1">
        <v>43062</v>
      </c>
      <c r="AA53" s="1">
        <v>43063</v>
      </c>
      <c r="AB53" s="1">
        <v>43064</v>
      </c>
      <c r="AC53" s="1">
        <v>43065</v>
      </c>
      <c r="AD53" s="1">
        <v>43066</v>
      </c>
      <c r="AE53" s="1">
        <v>43067</v>
      </c>
      <c r="AF53" s="1">
        <v>43068</v>
      </c>
      <c r="AG53" s="1">
        <v>43069</v>
      </c>
    </row>
    <row r="54" spans="2:33" x14ac:dyDescent="0.25">
      <c r="B54" t="str">
        <f>'Suppliers and Pricing'!$B$5</f>
        <v>Vanilla</v>
      </c>
      <c r="C54" s="3">
        <f>'Suppliers and Pricing'!F22</f>
        <v>3.5</v>
      </c>
      <c r="D54">
        <v>15</v>
      </c>
      <c r="E54">
        <v>16</v>
      </c>
      <c r="F54">
        <v>13</v>
      </c>
      <c r="G54">
        <v>22</v>
      </c>
      <c r="H54">
        <v>16</v>
      </c>
      <c r="I54">
        <v>19</v>
      </c>
      <c r="J54">
        <v>12</v>
      </c>
      <c r="K54">
        <v>12</v>
      </c>
      <c r="L54">
        <v>10</v>
      </c>
      <c r="M54">
        <v>20</v>
      </c>
      <c r="N54">
        <v>21</v>
      </c>
      <c r="O54">
        <v>10</v>
      </c>
      <c r="P54">
        <v>15</v>
      </c>
      <c r="Q54">
        <v>19</v>
      </c>
      <c r="R54">
        <v>12</v>
      </c>
      <c r="S54">
        <v>15</v>
      </c>
      <c r="T54">
        <v>30</v>
      </c>
    </row>
    <row r="55" spans="2:33" x14ac:dyDescent="0.25">
      <c r="B55" t="str">
        <f>'Suppliers and Pricing'!$B$6</f>
        <v>Chocolate</v>
      </c>
      <c r="C55" s="3">
        <f>'Suppliers and Pricing'!F23</f>
        <v>3.5</v>
      </c>
      <c r="D55">
        <v>15</v>
      </c>
      <c r="E55">
        <v>11</v>
      </c>
      <c r="F55">
        <v>23</v>
      </c>
      <c r="G55">
        <v>29</v>
      </c>
      <c r="H55">
        <v>27</v>
      </c>
      <c r="I55">
        <v>13</v>
      </c>
      <c r="J55">
        <v>20</v>
      </c>
      <c r="K55">
        <v>19</v>
      </c>
      <c r="L55">
        <v>13</v>
      </c>
      <c r="M55">
        <v>25</v>
      </c>
      <c r="N55">
        <v>17</v>
      </c>
      <c r="O55">
        <v>17</v>
      </c>
      <c r="P55">
        <v>19</v>
      </c>
      <c r="Q55">
        <v>16</v>
      </c>
      <c r="R55">
        <v>12</v>
      </c>
      <c r="S55">
        <v>12</v>
      </c>
      <c r="T55">
        <v>29</v>
      </c>
    </row>
    <row r="56" spans="2:33" x14ac:dyDescent="0.25">
      <c r="B56" t="str">
        <f>'Suppliers and Pricing'!$B$7</f>
        <v>Strawberry</v>
      </c>
      <c r="C56" s="3">
        <f>'Suppliers and Pricing'!F24</f>
        <v>3.5</v>
      </c>
      <c r="D56">
        <v>13</v>
      </c>
      <c r="E56">
        <v>10</v>
      </c>
      <c r="F56">
        <v>20</v>
      </c>
      <c r="G56">
        <v>11</v>
      </c>
      <c r="H56">
        <v>28</v>
      </c>
      <c r="I56">
        <v>11</v>
      </c>
      <c r="J56">
        <v>17</v>
      </c>
      <c r="K56">
        <v>10</v>
      </c>
      <c r="L56">
        <v>16</v>
      </c>
      <c r="M56">
        <v>23</v>
      </c>
      <c r="N56">
        <v>29</v>
      </c>
      <c r="O56">
        <v>16</v>
      </c>
      <c r="P56">
        <v>18</v>
      </c>
      <c r="Q56">
        <v>17</v>
      </c>
      <c r="R56">
        <v>12</v>
      </c>
      <c r="S56">
        <v>18</v>
      </c>
      <c r="T56">
        <v>23</v>
      </c>
    </row>
    <row r="57" spans="2:33" x14ac:dyDescent="0.25">
      <c r="B57" t="str">
        <f>'Suppliers and Pricing'!$B$8</f>
        <v>Cookies and Cream</v>
      </c>
      <c r="C57" s="3">
        <f>'Suppliers and Pricing'!F25</f>
        <v>4</v>
      </c>
      <c r="D57">
        <v>19</v>
      </c>
      <c r="E57">
        <v>18</v>
      </c>
      <c r="F57">
        <v>27</v>
      </c>
      <c r="G57">
        <v>10</v>
      </c>
      <c r="H57">
        <v>10</v>
      </c>
      <c r="I57">
        <v>11</v>
      </c>
      <c r="J57">
        <v>19</v>
      </c>
      <c r="K57">
        <v>17</v>
      </c>
      <c r="L57">
        <v>19</v>
      </c>
      <c r="M57">
        <v>15</v>
      </c>
      <c r="N57">
        <v>27</v>
      </c>
      <c r="O57">
        <v>29</v>
      </c>
      <c r="P57">
        <v>19</v>
      </c>
      <c r="Q57">
        <v>10</v>
      </c>
      <c r="R57">
        <v>19</v>
      </c>
      <c r="S57">
        <v>12</v>
      </c>
      <c r="T57">
        <v>20</v>
      </c>
    </row>
    <row r="58" spans="2:33" x14ac:dyDescent="0.25">
      <c r="B58" t="str">
        <f>'Suppliers and Pricing'!$B$9</f>
        <v>Mint Chocolate Chip</v>
      </c>
      <c r="C58" s="3">
        <f>'Suppliers and Pricing'!F26</f>
        <v>4</v>
      </c>
      <c r="D58">
        <v>3</v>
      </c>
      <c r="E58">
        <v>4</v>
      </c>
      <c r="F58">
        <v>8</v>
      </c>
      <c r="G58">
        <v>24</v>
      </c>
      <c r="H58">
        <v>8</v>
      </c>
      <c r="I58">
        <v>5</v>
      </c>
      <c r="J58">
        <v>9</v>
      </c>
      <c r="K58">
        <v>10</v>
      </c>
      <c r="L58">
        <v>14</v>
      </c>
      <c r="M58">
        <v>8</v>
      </c>
      <c r="N58">
        <v>16</v>
      </c>
      <c r="O58">
        <v>17</v>
      </c>
      <c r="P58">
        <v>8</v>
      </c>
      <c r="Q58">
        <v>6</v>
      </c>
      <c r="R58">
        <v>2</v>
      </c>
      <c r="S58">
        <v>5</v>
      </c>
      <c r="T58">
        <v>20</v>
      </c>
    </row>
    <row r="59" spans="2:33" x14ac:dyDescent="0.25">
      <c r="B59" t="str">
        <f>'Suppliers and Pricing'!$B$10</f>
        <v>Mint</v>
      </c>
      <c r="C59" s="3">
        <f>'Suppliers and Pricing'!F27</f>
        <v>4</v>
      </c>
      <c r="D59">
        <v>15</v>
      </c>
      <c r="E59">
        <v>10</v>
      </c>
      <c r="F59">
        <v>10</v>
      </c>
      <c r="G59">
        <v>8</v>
      </c>
      <c r="H59">
        <v>23</v>
      </c>
      <c r="I59">
        <v>8</v>
      </c>
      <c r="J59">
        <v>15</v>
      </c>
      <c r="K59">
        <v>9</v>
      </c>
      <c r="L59">
        <v>13</v>
      </c>
      <c r="M59">
        <v>12</v>
      </c>
      <c r="N59">
        <v>0</v>
      </c>
      <c r="O59">
        <v>16</v>
      </c>
      <c r="P59">
        <v>13</v>
      </c>
      <c r="Q59">
        <v>13</v>
      </c>
      <c r="R59">
        <v>5</v>
      </c>
      <c r="S59">
        <v>5</v>
      </c>
      <c r="T59">
        <v>14</v>
      </c>
    </row>
    <row r="60" spans="2:33" x14ac:dyDescent="0.25">
      <c r="B60" t="str">
        <f>'Suppliers and Pricing'!$B$11</f>
        <v>Double Chocolate</v>
      </c>
      <c r="C60" s="3">
        <f>'Suppliers and Pricing'!F28</f>
        <v>4.25</v>
      </c>
      <c r="D60">
        <v>9</v>
      </c>
      <c r="E60">
        <v>7</v>
      </c>
      <c r="F60">
        <v>19</v>
      </c>
      <c r="G60">
        <v>20</v>
      </c>
      <c r="H60">
        <v>19</v>
      </c>
      <c r="I60">
        <v>9</v>
      </c>
      <c r="J60">
        <v>8</v>
      </c>
      <c r="K60">
        <v>10</v>
      </c>
      <c r="L60">
        <v>4</v>
      </c>
      <c r="M60">
        <v>9</v>
      </c>
      <c r="N60">
        <v>23</v>
      </c>
      <c r="O60">
        <v>10</v>
      </c>
      <c r="P60">
        <v>1</v>
      </c>
      <c r="Q60">
        <v>14</v>
      </c>
      <c r="R60">
        <v>6</v>
      </c>
      <c r="S60">
        <v>8</v>
      </c>
      <c r="T60">
        <v>6</v>
      </c>
    </row>
    <row r="61" spans="2:33" x14ac:dyDescent="0.25">
      <c r="B61" t="str">
        <f>'Suppliers and Pricing'!$B$12</f>
        <v>Rocky Road</v>
      </c>
      <c r="C61" s="3">
        <f>'Suppliers and Pricing'!F29</f>
        <v>4.5</v>
      </c>
      <c r="D61">
        <v>7</v>
      </c>
      <c r="E61">
        <v>6</v>
      </c>
      <c r="F61">
        <v>4</v>
      </c>
      <c r="G61">
        <v>25</v>
      </c>
      <c r="H61">
        <v>2</v>
      </c>
      <c r="I61">
        <v>6</v>
      </c>
      <c r="J61">
        <v>2</v>
      </c>
      <c r="K61">
        <v>8</v>
      </c>
      <c r="L61">
        <v>13</v>
      </c>
      <c r="M61">
        <v>0</v>
      </c>
      <c r="N61">
        <v>21</v>
      </c>
      <c r="O61">
        <v>1</v>
      </c>
      <c r="P61">
        <v>9</v>
      </c>
      <c r="Q61">
        <v>7</v>
      </c>
      <c r="R61">
        <v>13</v>
      </c>
      <c r="S61">
        <v>8</v>
      </c>
      <c r="T61">
        <v>22</v>
      </c>
    </row>
    <row r="62" spans="2:33" x14ac:dyDescent="0.25">
      <c r="B62" t="str">
        <f>'Suppliers and Pricing'!$B$13</f>
        <v>Fudge Brownie</v>
      </c>
      <c r="C62" s="3">
        <f>'Suppliers and Pricing'!F30</f>
        <v>4.75</v>
      </c>
      <c r="D62">
        <v>15</v>
      </c>
      <c r="E62">
        <v>10</v>
      </c>
      <c r="F62">
        <v>24</v>
      </c>
      <c r="G62">
        <v>0</v>
      </c>
      <c r="H62">
        <v>13</v>
      </c>
      <c r="I62">
        <v>2</v>
      </c>
      <c r="J62">
        <v>4</v>
      </c>
      <c r="K62">
        <v>3</v>
      </c>
      <c r="L62">
        <v>1</v>
      </c>
      <c r="M62">
        <v>22</v>
      </c>
      <c r="N62">
        <v>20</v>
      </c>
      <c r="O62">
        <v>10</v>
      </c>
      <c r="P62">
        <v>11</v>
      </c>
      <c r="Q62">
        <v>6</v>
      </c>
      <c r="R62">
        <v>5</v>
      </c>
      <c r="S62">
        <v>8</v>
      </c>
      <c r="T62">
        <v>0</v>
      </c>
    </row>
    <row r="63" spans="2:33" x14ac:dyDescent="0.25">
      <c r="B63" t="str">
        <f>'Suppliers and Pricing'!$B$14</f>
        <v>Reese's Peanut Butter Cup</v>
      </c>
      <c r="C63" s="3">
        <f>'Suppliers and Pricing'!F31</f>
        <v>5</v>
      </c>
      <c r="D63">
        <v>13</v>
      </c>
      <c r="E63">
        <v>7</v>
      </c>
      <c r="F63">
        <v>19</v>
      </c>
      <c r="G63">
        <v>12</v>
      </c>
      <c r="H63">
        <v>7</v>
      </c>
      <c r="I63">
        <v>7</v>
      </c>
      <c r="J63">
        <v>2</v>
      </c>
      <c r="K63">
        <v>7</v>
      </c>
      <c r="L63">
        <v>7</v>
      </c>
      <c r="M63">
        <v>15</v>
      </c>
      <c r="N63">
        <v>11</v>
      </c>
      <c r="O63">
        <v>10</v>
      </c>
      <c r="P63">
        <v>2</v>
      </c>
      <c r="Q63">
        <v>11</v>
      </c>
      <c r="R63">
        <v>12</v>
      </c>
      <c r="S63">
        <v>7</v>
      </c>
      <c r="T63">
        <v>12</v>
      </c>
    </row>
    <row r="64" spans="2:33" s="11" customFormat="1" x14ac:dyDescent="0.25">
      <c r="C64" s="11" t="s">
        <v>41</v>
      </c>
      <c r="D64" s="11">
        <f>SUM(D54:D63)</f>
        <v>124</v>
      </c>
      <c r="E64" s="11">
        <f>SUM(E54:E63)</f>
        <v>99</v>
      </c>
      <c r="F64" s="11">
        <f t="shared" ref="F64:H64" si="87">SUM(F54:F63)</f>
        <v>167</v>
      </c>
      <c r="G64" s="11">
        <f t="shared" si="87"/>
        <v>161</v>
      </c>
      <c r="H64" s="11">
        <f t="shared" si="87"/>
        <v>153</v>
      </c>
      <c r="I64" s="11">
        <f t="shared" ref="I64" si="88">SUM(I54:I63)</f>
        <v>91</v>
      </c>
      <c r="J64" s="11">
        <f t="shared" ref="J64" si="89">SUM(J54:J63)</f>
        <v>108</v>
      </c>
      <c r="K64" s="11">
        <f t="shared" ref="K64" si="90">SUM(K54:K63)</f>
        <v>105</v>
      </c>
      <c r="L64" s="11">
        <f t="shared" ref="L64" si="91">SUM(L54:L63)</f>
        <v>110</v>
      </c>
      <c r="M64" s="11">
        <f t="shared" ref="M64" si="92">SUM(M54:M63)</f>
        <v>149</v>
      </c>
      <c r="N64" s="11">
        <f t="shared" ref="N64" si="93">SUM(N54:N63)</f>
        <v>185</v>
      </c>
      <c r="O64" s="11">
        <f t="shared" ref="O64" si="94">SUM(O54:O63)</f>
        <v>136</v>
      </c>
      <c r="P64" s="11">
        <f t="shared" ref="P64" si="95">SUM(P54:P63)</f>
        <v>115</v>
      </c>
      <c r="Q64" s="11">
        <f t="shared" ref="Q64" si="96">SUM(Q54:Q63)</f>
        <v>119</v>
      </c>
      <c r="R64" s="11">
        <f t="shared" ref="R64" si="97">SUM(R54:R63)</f>
        <v>98</v>
      </c>
      <c r="S64" s="11">
        <f t="shared" ref="S64" si="98">SUM(S54:S63)</f>
        <v>98</v>
      </c>
      <c r="T64" s="11">
        <f t="shared" ref="T64" si="99">SUM(T54:T63)</f>
        <v>176</v>
      </c>
      <c r="U64" s="11">
        <f t="shared" ref="U64" si="100">SUM(U54:U63)</f>
        <v>0</v>
      </c>
      <c r="V64" s="11">
        <f t="shared" ref="V64" si="101">SUM(V54:V63)</f>
        <v>0</v>
      </c>
      <c r="W64" s="11">
        <f t="shared" ref="W64" si="102">SUM(W54:W63)</f>
        <v>0</v>
      </c>
      <c r="X64" s="11">
        <f t="shared" ref="X64" si="103">SUM(X54:X63)</f>
        <v>0</v>
      </c>
      <c r="Y64" s="11">
        <f t="shared" ref="Y64" si="104">SUM(Y54:Y63)</f>
        <v>0</v>
      </c>
      <c r="Z64" s="11">
        <f t="shared" ref="Z64" si="105">SUM(Z54:Z63)</f>
        <v>0</v>
      </c>
      <c r="AA64" s="11">
        <f t="shared" ref="AA64" si="106">SUM(AA54:AA63)</f>
        <v>0</v>
      </c>
      <c r="AB64" s="11">
        <f t="shared" ref="AB64" si="107">SUM(AB54:AB63)</f>
        <v>0</v>
      </c>
      <c r="AC64" s="11">
        <f t="shared" ref="AC64" si="108">SUM(AC54:AC63)</f>
        <v>0</v>
      </c>
      <c r="AD64" s="11">
        <f t="shared" ref="AD64" si="109">SUM(AD54:AD63)</f>
        <v>0</v>
      </c>
      <c r="AE64" s="11">
        <f t="shared" ref="AE64" si="110">SUM(AE54:AE63)</f>
        <v>0</v>
      </c>
      <c r="AF64" s="11">
        <f t="shared" ref="AF64" si="111">SUM(AF54:AF63)</f>
        <v>0</v>
      </c>
      <c r="AG64" s="11">
        <f t="shared" ref="AG64" si="112">SUM(AG54:AG63)</f>
        <v>0</v>
      </c>
    </row>
    <row r="65" spans="3:33" s="10" customFormat="1" x14ac:dyDescent="0.25">
      <c r="C65" s="10" t="s">
        <v>42</v>
      </c>
      <c r="D65" s="13">
        <f>($C54*D54)+($C55*D55)+($C56*D56)+($C57*D57)+($C58*D58)+($C59*D59)+($C60*D60)+($C61*D61)+($C62*D62)+($C63*D63)</f>
        <v>504.5</v>
      </c>
      <c r="E65" s="13">
        <f>($C54*E54)+($C55*E55)+($C56*E56)+($C57*E57)+($C58*E58)+($C59*E59)+($C60*E60)+($C61*E61)+($C62*E62)+($C63*E63)</f>
        <v>396.75</v>
      </c>
      <c r="F65" s="13">
        <f t="shared" ref="F65:AG65" si="113">($C54*F54)+($C55*F55)+($C56*F56)+($C57*F57)+($C58*F58)+($C59*F59)+($C60*F60)+($C61*F61)+($C62*F62)+($C63*F63)</f>
        <v>683.75</v>
      </c>
      <c r="G65" s="13">
        <f t="shared" si="113"/>
        <v>642.5</v>
      </c>
      <c r="H65" s="13">
        <f t="shared" si="113"/>
        <v>599</v>
      </c>
      <c r="I65" s="13">
        <f t="shared" si="113"/>
        <v>356.25</v>
      </c>
      <c r="J65" s="13">
        <f t="shared" si="113"/>
        <v>415.5</v>
      </c>
      <c r="K65" s="13">
        <f t="shared" si="113"/>
        <v>415.25</v>
      </c>
      <c r="L65" s="13">
        <f t="shared" si="113"/>
        <v>435.75</v>
      </c>
      <c r="M65" s="13">
        <f t="shared" si="113"/>
        <v>595.75</v>
      </c>
      <c r="N65" s="13">
        <f t="shared" si="113"/>
        <v>748.75</v>
      </c>
      <c r="O65" s="13">
        <f t="shared" si="113"/>
        <v>543</v>
      </c>
      <c r="P65" s="13">
        <f t="shared" si="113"/>
        <v>449</v>
      </c>
      <c r="Q65" s="13">
        <f t="shared" si="113"/>
        <v>472.5</v>
      </c>
      <c r="R65" s="13">
        <f t="shared" si="113"/>
        <v>397.75</v>
      </c>
      <c r="S65" s="13">
        <f t="shared" si="113"/>
        <v>388.5</v>
      </c>
      <c r="T65" s="13">
        <f t="shared" si="113"/>
        <v>687.5</v>
      </c>
      <c r="U65" s="13">
        <f t="shared" si="113"/>
        <v>0</v>
      </c>
      <c r="V65" s="13">
        <f t="shared" si="113"/>
        <v>0</v>
      </c>
      <c r="W65" s="13">
        <f t="shared" si="113"/>
        <v>0</v>
      </c>
      <c r="X65" s="13">
        <f t="shared" si="113"/>
        <v>0</v>
      </c>
      <c r="Y65" s="13">
        <f t="shared" si="113"/>
        <v>0</v>
      </c>
      <c r="Z65" s="13">
        <f t="shared" si="113"/>
        <v>0</v>
      </c>
      <c r="AA65" s="13">
        <f t="shared" si="113"/>
        <v>0</v>
      </c>
      <c r="AB65" s="13">
        <f t="shared" si="113"/>
        <v>0</v>
      </c>
      <c r="AC65" s="13">
        <f t="shared" si="113"/>
        <v>0</v>
      </c>
      <c r="AD65" s="13">
        <f t="shared" si="113"/>
        <v>0</v>
      </c>
      <c r="AE65" s="13">
        <f t="shared" si="113"/>
        <v>0</v>
      </c>
      <c r="AF65" s="13">
        <f t="shared" si="113"/>
        <v>0</v>
      </c>
      <c r="AG65" s="13">
        <f t="shared" si="113"/>
        <v>0</v>
      </c>
    </row>
  </sheetData>
  <mergeCells count="2">
    <mergeCell ref="B1:F3"/>
    <mergeCell ref="B4:F4"/>
  </mergeCells>
  <conditionalFormatting sqref="A1:XFD1048576">
    <cfRule type="containsText" dxfId="102" priority="1" operator="containsText" text="Sunday">
      <formula>NOT(ISERROR(SEARCH("Sunday",A1)))</formula>
    </cfRule>
    <cfRule type="containsText" dxfId="101" priority="3" operator="containsText" text="Saturday">
      <formula>NOT(ISERROR(SEARCH("Saturday",A1)))</formula>
    </cfRule>
    <cfRule type="containsText" dxfId="100" priority="4" operator="containsText" text="Friday">
      <formula>NOT(ISERROR(SEARCH("Friday",A1)))</formula>
    </cfRule>
  </conditionalFormatting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Inventory"/>
  <dimension ref="A1:AG91"/>
  <sheetViews>
    <sheetView tabSelected="1" workbookViewId="0">
      <pane xSplit="2" ySplit="6" topLeftCell="F7" activePane="bottomRight" state="frozen"/>
      <selection pane="topRight" activeCell="C1" sqref="C1"/>
      <selection pane="bottomLeft" activeCell="A7" sqref="A7"/>
      <selection pane="bottomRight" activeCell="T32" sqref="T32"/>
    </sheetView>
  </sheetViews>
  <sheetFormatPr defaultColWidth="8.85546875" defaultRowHeight="15" x14ac:dyDescent="0.25"/>
  <cols>
    <col min="1" max="1" width="16" customWidth="1"/>
    <col min="2" max="2" width="22" customWidth="1"/>
    <col min="3" max="3" width="22.42578125" customWidth="1"/>
    <col min="4" max="33" width="13.42578125" customWidth="1"/>
  </cols>
  <sheetData>
    <row r="1" spans="1:33" ht="15" customHeight="1" x14ac:dyDescent="0.25">
      <c r="A1" s="25" t="s">
        <v>17</v>
      </c>
      <c r="B1" s="24" t="s">
        <v>47</v>
      </c>
      <c r="C1" s="7"/>
      <c r="D1" s="7"/>
      <c r="E1" s="7"/>
      <c r="F1" s="7"/>
    </row>
    <row r="2" spans="1:33" ht="15" customHeight="1" x14ac:dyDescent="0.25">
      <c r="A2" s="25"/>
      <c r="B2" s="24"/>
      <c r="C2" s="7"/>
      <c r="D2" s="7"/>
      <c r="E2" s="7"/>
      <c r="F2" s="7"/>
    </row>
    <row r="3" spans="1:33" ht="33" customHeight="1" x14ac:dyDescent="0.25">
      <c r="A3" s="25"/>
      <c r="B3" s="24"/>
      <c r="C3" s="7"/>
      <c r="D3" s="7"/>
      <c r="E3" s="7"/>
      <c r="F3" s="7"/>
    </row>
    <row r="4" spans="1:33" x14ac:dyDescent="0.25">
      <c r="A4" s="8" t="s">
        <v>33</v>
      </c>
      <c r="B4" s="16">
        <v>43056</v>
      </c>
      <c r="C4" s="8"/>
      <c r="D4" s="9"/>
      <c r="E4" s="9"/>
      <c r="F4" s="9"/>
    </row>
    <row r="5" spans="1:33" ht="30" customHeight="1" x14ac:dyDescent="0.25">
      <c r="A5" s="26" t="s">
        <v>44</v>
      </c>
      <c r="B5" s="26"/>
    </row>
    <row r="6" spans="1:33" x14ac:dyDescent="0.25">
      <c r="A6" s="14" t="s">
        <v>45</v>
      </c>
      <c r="B6" s="15" t="s">
        <v>46</v>
      </c>
    </row>
    <row r="7" spans="1:33" x14ac:dyDescent="0.25">
      <c r="B7" s="6" t="s">
        <v>14</v>
      </c>
      <c r="C7" s="6"/>
      <c r="D7" s="6"/>
      <c r="E7" s="6"/>
      <c r="F7" s="6"/>
      <c r="G7" s="6"/>
      <c r="H7" s="6"/>
      <c r="I7" s="6"/>
    </row>
    <row r="8" spans="1:33" x14ac:dyDescent="0.25">
      <c r="B8" t="s">
        <v>8</v>
      </c>
      <c r="C8" t="s">
        <v>18</v>
      </c>
      <c r="D8" s="1">
        <v>43040</v>
      </c>
      <c r="E8" s="1">
        <v>43041</v>
      </c>
      <c r="F8" s="1">
        <v>43042</v>
      </c>
      <c r="G8" s="1">
        <v>43043</v>
      </c>
      <c r="H8" s="1">
        <v>43044</v>
      </c>
      <c r="I8" s="1">
        <v>43045</v>
      </c>
      <c r="J8" s="1">
        <v>43046</v>
      </c>
      <c r="K8" s="1">
        <v>43047</v>
      </c>
      <c r="L8" s="1">
        <v>43048</v>
      </c>
      <c r="M8" s="1">
        <v>43049</v>
      </c>
      <c r="N8" s="1">
        <v>43050</v>
      </c>
      <c r="O8" s="1">
        <v>43051</v>
      </c>
      <c r="P8" s="1">
        <v>43052</v>
      </c>
      <c r="Q8" s="1">
        <v>43053</v>
      </c>
      <c r="R8" s="1">
        <v>43054</v>
      </c>
      <c r="S8" s="1">
        <v>43055</v>
      </c>
      <c r="T8" s="1">
        <v>43056</v>
      </c>
      <c r="U8" s="1">
        <v>43057</v>
      </c>
      <c r="V8" s="1">
        <v>43058</v>
      </c>
      <c r="W8" s="1">
        <v>43059</v>
      </c>
      <c r="X8" s="1">
        <v>43060</v>
      </c>
      <c r="Y8" s="1">
        <v>43061</v>
      </c>
      <c r="Z8" s="1">
        <v>43062</v>
      </c>
      <c r="AA8" s="1">
        <v>43063</v>
      </c>
      <c r="AB8" s="1">
        <v>43064</v>
      </c>
      <c r="AC8" s="1">
        <v>43065</v>
      </c>
      <c r="AD8" s="1">
        <v>43066</v>
      </c>
      <c r="AE8" s="1">
        <v>43067</v>
      </c>
      <c r="AF8" s="1">
        <v>43068</v>
      </c>
      <c r="AG8" s="1">
        <v>43069</v>
      </c>
    </row>
    <row r="9" spans="1:33" x14ac:dyDescent="0.25">
      <c r="B9" t="str">
        <f>'Suppliers and Pricing'!$B$5</f>
        <v>Vanilla</v>
      </c>
      <c r="C9">
        <v>50</v>
      </c>
      <c r="D9">
        <f>ROUNDDOWN((C9-(Sales!D9/8)), 0)</f>
        <v>47</v>
      </c>
      <c r="E9">
        <f>ROUNDDOWN((D9-(Sales!E9/8)), 0)</f>
        <v>45</v>
      </c>
      <c r="F9">
        <f>ROUNDDOWN((E9-(Sales!F9/8)), 0)</f>
        <v>43</v>
      </c>
      <c r="G9">
        <f>ROUNDDOWN((F9-(Sales!G9/8)), 0)</f>
        <v>41</v>
      </c>
      <c r="H9">
        <f>ROUNDDOWN((G9-(Sales!H9/8)), 0)</f>
        <v>39</v>
      </c>
      <c r="I9">
        <f>ROUNDDOWN((H9-(Sales!I9/8)), 0)</f>
        <v>37</v>
      </c>
      <c r="J9">
        <f>ROUNDDOWN((I9-(Sales!J9/8)), 0)</f>
        <v>34</v>
      </c>
      <c r="K9">
        <f>ROUNDDOWN((J9-(Sales!K9/8)), 0)</f>
        <v>31</v>
      </c>
      <c r="L9">
        <f>ROUNDDOWN((K9-(Sales!L9/8)), 0)</f>
        <v>29</v>
      </c>
      <c r="M9">
        <f>ROUNDDOWN((L9-(Sales!M9/8)), 0)</f>
        <v>26</v>
      </c>
      <c r="N9">
        <f>ROUNDDOWN((M9-(Sales!N9/8)), 0)</f>
        <v>24</v>
      </c>
      <c r="O9">
        <f>ROUNDDOWN((N9-(Sales!O9/8)), 0)</f>
        <v>22</v>
      </c>
      <c r="P9">
        <f>ROUNDDOWN((O9-(Sales!P9/8)), 0)</f>
        <v>19</v>
      </c>
      <c r="Q9">
        <f>ROUNDDOWN((P9-(Sales!Q9/8)), 0)</f>
        <v>16</v>
      </c>
      <c r="R9">
        <f>ROUNDDOWN((Q9-(Sales!R9/8)), 0)</f>
        <v>13</v>
      </c>
      <c r="S9">
        <f>ROUNDDOWN((R9-(Sales!S9/8)), 0)</f>
        <v>11</v>
      </c>
      <c r="T9">
        <f>ROUNDDOWN((S9-(Sales!T9/8)), 0)+30</f>
        <v>39</v>
      </c>
    </row>
    <row r="10" spans="1:33" x14ac:dyDescent="0.25">
      <c r="B10" t="str">
        <f>'Suppliers and Pricing'!$B$6</f>
        <v>Chocolate</v>
      </c>
      <c r="C10">
        <v>50</v>
      </c>
      <c r="D10">
        <f>ROUNDDOWN((C10-(Sales!D10/8)), 0)</f>
        <v>48</v>
      </c>
      <c r="E10">
        <f>ROUNDDOWN((D10-(Sales!E10/8)), 0)</f>
        <v>46</v>
      </c>
      <c r="F10">
        <f>ROUNDDOWN((E10-(Sales!F10/8)), 0)</f>
        <v>42</v>
      </c>
      <c r="G10">
        <f>ROUNDDOWN((F10-(Sales!G10/8)), 0)</f>
        <v>40</v>
      </c>
      <c r="H10">
        <f>ROUNDDOWN((G10-(Sales!H10/8)), 0)</f>
        <v>36</v>
      </c>
      <c r="I10">
        <f>ROUNDDOWN((H10-(Sales!I10/8)), 0)</f>
        <v>33</v>
      </c>
      <c r="J10">
        <f>ROUNDDOWN((I10-(Sales!J10/8)), 0)</f>
        <v>31</v>
      </c>
      <c r="K10">
        <f>ROUNDDOWN((J10-(Sales!K10/8)), 0)</f>
        <v>29</v>
      </c>
      <c r="L10">
        <f>ROUNDDOWN((K10-(Sales!L10/8)), 0)</f>
        <v>27</v>
      </c>
      <c r="M10">
        <f>ROUNDDOWN((L10-(Sales!M10/8)), 0)</f>
        <v>23</v>
      </c>
      <c r="N10">
        <f>ROUNDDOWN((M10-(Sales!N10/8)), 0)</f>
        <v>21</v>
      </c>
      <c r="O10">
        <f>ROUNDDOWN((N10-(Sales!O10/8)), 0)</f>
        <v>18</v>
      </c>
      <c r="P10">
        <f>ROUNDDOWN((O10-(Sales!P10/8)), 0)</f>
        <v>16</v>
      </c>
      <c r="Q10">
        <f>ROUNDDOWN((P10-(Sales!Q10/8)), 0)</f>
        <v>13</v>
      </c>
      <c r="R10">
        <f>ROUNDDOWN((Q10-(Sales!R10/8)), 0)</f>
        <v>10</v>
      </c>
      <c r="S10">
        <f>ROUNDDOWN((R10-(Sales!S10/8)), 0)+30</f>
        <v>38</v>
      </c>
      <c r="T10">
        <f>ROUNDDOWN((S10-(Sales!T10/8)), 0)</f>
        <v>36</v>
      </c>
    </row>
    <row r="11" spans="1:33" x14ac:dyDescent="0.25">
      <c r="B11" t="str">
        <f>'Suppliers and Pricing'!$B$7</f>
        <v>Strawberry</v>
      </c>
      <c r="C11">
        <v>50</v>
      </c>
      <c r="D11">
        <f>ROUNDDOWN((C11-(Sales!D11/8)), 0)</f>
        <v>48</v>
      </c>
      <c r="E11">
        <f>ROUNDDOWN((D11-(Sales!E11/8)), 0)</f>
        <v>45</v>
      </c>
      <c r="F11">
        <f>ROUNDDOWN((E11-(Sales!F11/8)), 0)</f>
        <v>41</v>
      </c>
      <c r="G11">
        <f>ROUNDDOWN((F11-(Sales!G11/8)), 0)</f>
        <v>39</v>
      </c>
      <c r="H11">
        <f>ROUNDDOWN((G11-(Sales!H11/8)), 0)</f>
        <v>37</v>
      </c>
      <c r="I11">
        <f>ROUNDDOWN((H11-(Sales!I11/8)), 0)</f>
        <v>35</v>
      </c>
      <c r="J11">
        <f>ROUNDDOWN((I11-(Sales!J11/8)), 0)</f>
        <v>33</v>
      </c>
      <c r="K11">
        <f>ROUNDDOWN((J11-(Sales!K11/8)), 0)</f>
        <v>31</v>
      </c>
      <c r="L11">
        <f>ROUNDDOWN((K11-(Sales!L11/8)), 0)</f>
        <v>28</v>
      </c>
      <c r="M11">
        <f>ROUNDDOWN((L11-(Sales!M11/8)), 0)</f>
        <v>24</v>
      </c>
      <c r="N11">
        <f>ROUNDDOWN((M11-(Sales!N11/8)), 0)</f>
        <v>21</v>
      </c>
      <c r="O11">
        <f>ROUNDDOWN((N11-(Sales!O11/8)), 0)</f>
        <v>19</v>
      </c>
      <c r="P11">
        <f>ROUNDDOWN((O11-(Sales!P11/8)), 0)</f>
        <v>17</v>
      </c>
      <c r="Q11">
        <f>ROUNDDOWN((P11-(Sales!Q11/8)), 0)</f>
        <v>15</v>
      </c>
      <c r="R11">
        <f>ROUNDDOWN((Q11-(Sales!R11/8)), 0)</f>
        <v>13</v>
      </c>
      <c r="S11">
        <f>ROUNDDOWN((R11-(Sales!S11/8)), 0)</f>
        <v>10</v>
      </c>
      <c r="T11">
        <f>ROUNDDOWN((S11-(Sales!T11/8)), 0)+30</f>
        <v>38</v>
      </c>
    </row>
    <row r="12" spans="1:33" x14ac:dyDescent="0.25">
      <c r="B12" t="str">
        <f>'Suppliers and Pricing'!$B$8</f>
        <v>Cookies and Cream</v>
      </c>
      <c r="C12">
        <v>50</v>
      </c>
      <c r="D12">
        <f>ROUNDDOWN((C12-(Sales!D12/8)), 0)</f>
        <v>47</v>
      </c>
      <c r="E12">
        <f>ROUNDDOWN((D12-(Sales!E12/8)), 0)</f>
        <v>45</v>
      </c>
      <c r="F12">
        <f>ROUNDDOWN((E12-(Sales!F12/8)), 0)</f>
        <v>42</v>
      </c>
      <c r="G12">
        <f>ROUNDDOWN((F12-(Sales!G12/8)), 0)</f>
        <v>40</v>
      </c>
      <c r="H12">
        <f>ROUNDDOWN((G12-(Sales!H12/8)), 0)</f>
        <v>37</v>
      </c>
      <c r="I12">
        <f>ROUNDDOWN((H12-(Sales!I12/8)), 0)</f>
        <v>34</v>
      </c>
      <c r="J12">
        <f>ROUNDDOWN((I12-(Sales!J12/8)), 0)</f>
        <v>32</v>
      </c>
      <c r="K12">
        <f>ROUNDDOWN((J12-(Sales!K12/8)), 0)</f>
        <v>30</v>
      </c>
      <c r="L12">
        <f>ROUNDDOWN((K12-(Sales!L12/8)), 0)</f>
        <v>27</v>
      </c>
      <c r="M12">
        <f>ROUNDDOWN((L12-(Sales!M12/8)), 0)</f>
        <v>24</v>
      </c>
      <c r="N12">
        <f>ROUNDDOWN((M12-(Sales!N12/8)), 0)</f>
        <v>20</v>
      </c>
      <c r="O12">
        <f>ROUNDDOWN((N12-(Sales!O12/8)), 0)</f>
        <v>16</v>
      </c>
      <c r="P12">
        <f>ROUNDDOWN((O12-(Sales!P12/8)), 0)</f>
        <v>14</v>
      </c>
      <c r="Q12">
        <f>ROUNDDOWN((P12-(Sales!Q12/8)), 0)</f>
        <v>12</v>
      </c>
      <c r="R12">
        <f>ROUNDDOWN((Q12-(Sales!R12/8)), 0)+30</f>
        <v>39</v>
      </c>
      <c r="S12">
        <f>ROUNDDOWN((R12-(Sales!S12/8)), 0)</f>
        <v>37</v>
      </c>
      <c r="T12">
        <f>ROUNDDOWN((S12-(Sales!T12/8)), 0)</f>
        <v>34</v>
      </c>
    </row>
    <row r="13" spans="1:33" x14ac:dyDescent="0.25">
      <c r="B13" t="str">
        <f>'Suppliers and Pricing'!$B$9</f>
        <v>Mint Chocolate Chip</v>
      </c>
      <c r="C13">
        <v>38</v>
      </c>
      <c r="D13">
        <f>ROUNDDOWN((C13-(Sales!D13/8)), 0)</f>
        <v>37</v>
      </c>
      <c r="E13">
        <f>ROUNDDOWN((D13-(Sales!E13/8)), 0)</f>
        <v>36</v>
      </c>
      <c r="F13">
        <f>ROUNDDOWN((E13-(Sales!F13/8)), 0)</f>
        <v>33</v>
      </c>
      <c r="G13">
        <f>ROUNDDOWN((F13-(Sales!G13/8)), 0)</f>
        <v>33</v>
      </c>
      <c r="H13">
        <f>ROUNDDOWN((G13-(Sales!H13/8)), 0)</f>
        <v>32</v>
      </c>
      <c r="I13">
        <f>ROUNDDOWN((H13-(Sales!I13/8)), 0)</f>
        <v>30</v>
      </c>
      <c r="J13">
        <f>ROUNDDOWN((I13-(Sales!J13/8)), 0)</f>
        <v>28</v>
      </c>
      <c r="K13">
        <f>ROUNDDOWN((J13-(Sales!K13/8)), 0)</f>
        <v>27</v>
      </c>
      <c r="L13">
        <f>ROUNDDOWN((K13-(Sales!L13/8)), 0)</f>
        <v>25</v>
      </c>
      <c r="M13">
        <f>ROUNDDOWN((L13-(Sales!M13/8)), 0)</f>
        <v>24</v>
      </c>
      <c r="N13">
        <f>ROUNDDOWN((M13-(Sales!N13/8)), 0)</f>
        <v>21</v>
      </c>
      <c r="O13">
        <f>ROUNDDOWN((N13-(Sales!O13/8)), 0)</f>
        <v>18</v>
      </c>
      <c r="P13">
        <f>ROUNDDOWN((O13-(Sales!P13/8)), 0)</f>
        <v>18</v>
      </c>
      <c r="Q13">
        <f>ROUNDDOWN((P13-(Sales!Q13/8)), 0)</f>
        <v>16</v>
      </c>
      <c r="R13">
        <f>ROUNDDOWN((Q13-(Sales!R13/8)), 0)</f>
        <v>15</v>
      </c>
      <c r="S13">
        <f>ROUNDDOWN((R13-(Sales!S13/8)), 0)</f>
        <v>14</v>
      </c>
      <c r="T13">
        <f>ROUNDDOWN((S13-(Sales!T13/8)), 0)</f>
        <v>12</v>
      </c>
    </row>
    <row r="14" spans="1:33" x14ac:dyDescent="0.25">
      <c r="B14" t="str">
        <f>'Suppliers and Pricing'!$B$10</f>
        <v>Mint</v>
      </c>
      <c r="C14">
        <v>38</v>
      </c>
      <c r="D14">
        <f>ROUNDDOWN((C14-(Sales!D14/8)), 0)</f>
        <v>36</v>
      </c>
      <c r="E14">
        <f>ROUNDDOWN((D14-(Sales!E14/8)), 0)</f>
        <v>35</v>
      </c>
      <c r="F14">
        <f>ROUNDDOWN((E14-(Sales!F14/8)), 0)</f>
        <v>34</v>
      </c>
      <c r="G14">
        <f>ROUNDDOWN((F14-(Sales!G14/8)), 0)</f>
        <v>32</v>
      </c>
      <c r="H14">
        <f>ROUNDDOWN((G14-(Sales!H14/8)), 0)</f>
        <v>30</v>
      </c>
      <c r="I14">
        <f>ROUNDDOWN((H14-(Sales!I14/8)), 0)</f>
        <v>29</v>
      </c>
      <c r="J14">
        <f>ROUNDDOWN((I14-(Sales!J14/8)), 0)</f>
        <v>28</v>
      </c>
      <c r="K14">
        <f>ROUNDDOWN((J14-(Sales!K14/8)), 0)</f>
        <v>27</v>
      </c>
      <c r="L14">
        <f>ROUNDDOWN((K14-(Sales!L14/8)), 0)</f>
        <v>25</v>
      </c>
      <c r="M14">
        <f>ROUNDDOWN((L14-(Sales!M14/8)), 0)</f>
        <v>22</v>
      </c>
      <c r="N14">
        <f>ROUNDDOWN((M14-(Sales!N14/8)), 0)</f>
        <v>20</v>
      </c>
      <c r="O14">
        <f>ROUNDDOWN((N14-(Sales!O14/8)), 0)</f>
        <v>19</v>
      </c>
      <c r="P14">
        <f>ROUNDDOWN((O14-(Sales!P14/8)), 0)</f>
        <v>17</v>
      </c>
      <c r="Q14">
        <f>ROUNDDOWN((P14-(Sales!Q14/8)), 0)</f>
        <v>17</v>
      </c>
      <c r="R14">
        <f>ROUNDDOWN((Q14-(Sales!R14/8)), 0)</f>
        <v>15</v>
      </c>
      <c r="S14">
        <f>ROUNDDOWN((R14-(Sales!S14/8)), 0)</f>
        <v>13</v>
      </c>
      <c r="T14">
        <f>ROUNDDOWN((S14-(Sales!T14/8)), 0)</f>
        <v>12</v>
      </c>
    </row>
    <row r="15" spans="1:33" x14ac:dyDescent="0.25">
      <c r="B15" t="str">
        <f>'Suppliers and Pricing'!$B$11</f>
        <v>Double Chocolate</v>
      </c>
      <c r="C15">
        <v>38</v>
      </c>
      <c r="D15">
        <f>ROUNDDOWN((C15-(Sales!D15/8)), 0)</f>
        <v>36</v>
      </c>
      <c r="E15">
        <f>ROUNDDOWN((D15-(Sales!E15/8)), 0)</f>
        <v>34</v>
      </c>
      <c r="F15">
        <f>ROUNDDOWN((E15-(Sales!F15/8)), 0)</f>
        <v>32</v>
      </c>
      <c r="G15">
        <f>ROUNDDOWN((F15-(Sales!G15/8)), 0)</f>
        <v>31</v>
      </c>
      <c r="H15">
        <f>ROUNDDOWN((G15-(Sales!H15/8)), 0)</f>
        <v>28</v>
      </c>
      <c r="I15">
        <f>ROUNDDOWN((H15-(Sales!I15/8)), 0)</f>
        <v>27</v>
      </c>
      <c r="J15">
        <f>ROUNDDOWN((I15-(Sales!J15/8)), 0)</f>
        <v>26</v>
      </c>
      <c r="K15">
        <f>ROUNDDOWN((J15-(Sales!K15/8)), 0)</f>
        <v>24</v>
      </c>
      <c r="L15">
        <f>ROUNDDOWN((K15-(Sales!L15/8)), 0)</f>
        <v>22</v>
      </c>
      <c r="M15">
        <f>ROUNDDOWN((L15-(Sales!M15/8)), 0)</f>
        <v>21</v>
      </c>
      <c r="N15">
        <f>ROUNDDOWN((M15-(Sales!N15/8)), 0)</f>
        <v>19</v>
      </c>
      <c r="O15">
        <f>ROUNDDOWN((N15-(Sales!O15/8)), 0)</f>
        <v>17</v>
      </c>
      <c r="P15">
        <f>ROUNDDOWN((O15-(Sales!P15/8)), 0)</f>
        <v>15</v>
      </c>
      <c r="Q15">
        <f>ROUNDDOWN((P15-(Sales!Q15/8)), 0)</f>
        <v>13</v>
      </c>
      <c r="R15">
        <f>ROUNDDOWN((Q15-(Sales!R15/8)), 0)</f>
        <v>11</v>
      </c>
      <c r="S15">
        <f>ROUNDDOWN((R15-(Sales!S15/8)), 0)</f>
        <v>9</v>
      </c>
      <c r="T15">
        <f>ROUNDDOWN((S15-(Sales!T15/8)), 0)</f>
        <v>6</v>
      </c>
    </row>
    <row r="16" spans="1:33" x14ac:dyDescent="0.25">
      <c r="B16" t="str">
        <f>'Suppliers and Pricing'!$B$12</f>
        <v>Rocky Road</v>
      </c>
      <c r="C16">
        <v>38</v>
      </c>
      <c r="D16">
        <f>ROUNDDOWN((C16-(Sales!D16/8)), 0)</f>
        <v>36</v>
      </c>
      <c r="E16">
        <f>ROUNDDOWN((D16-(Sales!E16/8)), 0)</f>
        <v>35</v>
      </c>
      <c r="F16">
        <f>ROUNDDOWN((E16-(Sales!F16/8)), 0)</f>
        <v>33</v>
      </c>
      <c r="G16">
        <f>ROUNDDOWN((F16-(Sales!G16/8)), 0)</f>
        <v>31</v>
      </c>
      <c r="H16">
        <f>ROUNDDOWN((G16-(Sales!H16/8)), 0)</f>
        <v>28</v>
      </c>
      <c r="I16">
        <f>ROUNDDOWN((H16-(Sales!I16/8)), 0)</f>
        <v>26</v>
      </c>
      <c r="J16">
        <f>ROUNDDOWN((I16-(Sales!J16/8)), 0)</f>
        <v>24</v>
      </c>
      <c r="K16">
        <f>ROUNDDOWN((J16-(Sales!K16/8)), 0)</f>
        <v>22</v>
      </c>
      <c r="L16">
        <f>ROUNDDOWN((K16-(Sales!L16/8)), 0)</f>
        <v>20</v>
      </c>
      <c r="M16">
        <f>ROUNDDOWN((L16-(Sales!M16/8)), 0)</f>
        <v>17</v>
      </c>
      <c r="N16">
        <f>ROUNDDOWN((M16-(Sales!N16/8)), 0)</f>
        <v>14</v>
      </c>
      <c r="O16">
        <f>ROUNDDOWN((N16-(Sales!O16/8)), 0)</f>
        <v>13</v>
      </c>
      <c r="P16">
        <f>ROUNDDOWN((O16-(Sales!P16/8)), 0)</f>
        <v>13</v>
      </c>
      <c r="Q16">
        <f>ROUNDDOWN((P16-(Sales!Q16/8)), 0)</f>
        <v>12</v>
      </c>
      <c r="R16">
        <f>ROUNDDOWN((Q16-(Sales!R16/8)), 0)</f>
        <v>11</v>
      </c>
      <c r="S16">
        <f>ROUNDDOWN((R16-(Sales!S16/8)), 0)</f>
        <v>10</v>
      </c>
      <c r="T16">
        <f>ROUNDDOWN((S16-(Sales!T16/8)), 0)</f>
        <v>8</v>
      </c>
    </row>
    <row r="17" spans="2:33" x14ac:dyDescent="0.25">
      <c r="B17" t="str">
        <f>'Suppliers and Pricing'!$B$13</f>
        <v>Fudge Brownie</v>
      </c>
      <c r="C17">
        <v>38</v>
      </c>
      <c r="D17">
        <f>ROUNDDOWN((C17-(Sales!D17/8)), 0)</f>
        <v>37</v>
      </c>
      <c r="E17">
        <f>ROUNDDOWN((D17-(Sales!E17/8)), 0)</f>
        <v>35</v>
      </c>
      <c r="F17">
        <f>ROUNDDOWN((E17-(Sales!F17/8)), 0)</f>
        <v>34</v>
      </c>
      <c r="G17">
        <f>ROUNDDOWN((F17-(Sales!G17/8)), 0)</f>
        <v>33</v>
      </c>
      <c r="H17">
        <f>ROUNDDOWN((G17-(Sales!H17/8)), 0)</f>
        <v>31</v>
      </c>
      <c r="I17">
        <f>ROUNDDOWN((H17-(Sales!I17/8)), 0)</f>
        <v>30</v>
      </c>
      <c r="J17">
        <f>ROUNDDOWN((I17-(Sales!J17/8)), 0)</f>
        <v>29</v>
      </c>
      <c r="K17">
        <f>ROUNDDOWN((J17-(Sales!K17/8)), 0)</f>
        <v>27</v>
      </c>
      <c r="L17">
        <f>ROUNDDOWN((K17-(Sales!L17/8)), 0)</f>
        <v>26</v>
      </c>
      <c r="M17">
        <f>ROUNDDOWN((L17-(Sales!M17/8)), 0)</f>
        <v>24</v>
      </c>
      <c r="N17">
        <f>ROUNDDOWN((M17-(Sales!N17/8)), 0)</f>
        <v>23</v>
      </c>
      <c r="O17">
        <f>ROUNDDOWN((N17-(Sales!O17/8)), 0)</f>
        <v>21</v>
      </c>
      <c r="P17">
        <f>ROUNDDOWN((O17-(Sales!P17/8)), 0)</f>
        <v>20</v>
      </c>
      <c r="Q17">
        <f>ROUNDDOWN((P17-(Sales!Q17/8)), 0)</f>
        <v>20</v>
      </c>
      <c r="R17">
        <f>ROUNDDOWN((Q17-(Sales!R17/8)), 0)</f>
        <v>18</v>
      </c>
      <c r="S17">
        <f>ROUNDDOWN((R17-(Sales!S17/8)), 0)</f>
        <v>17</v>
      </c>
      <c r="T17">
        <f>ROUNDDOWN((S17-(Sales!T17/8)), 0)</f>
        <v>14</v>
      </c>
    </row>
    <row r="18" spans="2:33" x14ac:dyDescent="0.25">
      <c r="B18" t="str">
        <f>'Suppliers and Pricing'!$B$14</f>
        <v>Reese's Peanut Butter Cup</v>
      </c>
      <c r="C18">
        <v>50</v>
      </c>
      <c r="D18">
        <f>ROUNDDOWN((C18-(Sales!D18/8)), 0)</f>
        <v>48</v>
      </c>
      <c r="E18">
        <f>ROUNDDOWN((D18-(Sales!E18/8)), 0)</f>
        <v>46</v>
      </c>
      <c r="F18">
        <f>ROUNDDOWN((E18-(Sales!F18/8)), 0)</f>
        <v>43</v>
      </c>
      <c r="G18">
        <f>ROUNDDOWN((F18-(Sales!G18/8)), 0)</f>
        <v>41</v>
      </c>
      <c r="H18">
        <f>ROUNDDOWN((G18-(Sales!H18/8)), 0)</f>
        <v>39</v>
      </c>
      <c r="I18">
        <f>ROUNDDOWN((H18-(Sales!I18/8)), 0)</f>
        <v>37</v>
      </c>
      <c r="J18">
        <f>ROUNDDOWN((I18-(Sales!J18/8)), 0)</f>
        <v>35</v>
      </c>
      <c r="K18">
        <f>ROUNDDOWN((J18-(Sales!K18/8)), 0)</f>
        <v>34</v>
      </c>
      <c r="L18">
        <f>ROUNDDOWN((K18-(Sales!L18/8)), 0)</f>
        <v>33</v>
      </c>
      <c r="M18">
        <f>ROUNDDOWN((L18-(Sales!M18/8)), 0)</f>
        <v>31</v>
      </c>
      <c r="N18">
        <f>ROUNDDOWN((M18-(Sales!N18/8)), 0)</f>
        <v>28</v>
      </c>
      <c r="O18">
        <f>ROUNDDOWN((N18-(Sales!O18/8)), 0)</f>
        <v>27</v>
      </c>
      <c r="P18">
        <f>ROUNDDOWN((O18-(Sales!P18/8)), 0)</f>
        <v>25</v>
      </c>
      <c r="Q18">
        <f>ROUNDDOWN((P18-(Sales!Q18/8)), 0)</f>
        <v>23</v>
      </c>
      <c r="R18">
        <f>ROUNDDOWN((Q18-(Sales!R18/8)), 0)</f>
        <v>22</v>
      </c>
      <c r="S18">
        <f>ROUNDDOWN((R18-(Sales!S18/8)), 0)</f>
        <v>20</v>
      </c>
      <c r="T18">
        <f>ROUNDDOWN((S18-(Sales!T18/8)), 0)</f>
        <v>19</v>
      </c>
    </row>
    <row r="22" spans="2:33" x14ac:dyDescent="0.25">
      <c r="B22" s="6" t="s">
        <v>21</v>
      </c>
      <c r="C22" s="6"/>
      <c r="D22" s="6"/>
      <c r="E22" s="6"/>
      <c r="F22" s="6"/>
      <c r="G22" s="6"/>
      <c r="H22" s="6"/>
      <c r="I22" s="6"/>
    </row>
    <row r="23" spans="2:33" x14ac:dyDescent="0.25">
      <c r="B23" t="s">
        <v>8</v>
      </c>
      <c r="C23" t="s">
        <v>18</v>
      </c>
      <c r="D23" s="1">
        <v>43040</v>
      </c>
      <c r="E23" s="1">
        <v>43041</v>
      </c>
      <c r="F23" s="1">
        <v>43042</v>
      </c>
      <c r="G23" s="1">
        <v>43043</v>
      </c>
      <c r="H23" s="1">
        <v>43044</v>
      </c>
      <c r="I23" s="1">
        <v>43045</v>
      </c>
      <c r="J23" s="1">
        <v>43046</v>
      </c>
      <c r="K23" s="1">
        <v>43047</v>
      </c>
      <c r="L23" s="1">
        <v>43048</v>
      </c>
      <c r="M23" s="1">
        <v>43049</v>
      </c>
      <c r="N23" s="1">
        <v>43050</v>
      </c>
      <c r="O23" s="1">
        <v>43051</v>
      </c>
      <c r="P23" s="1">
        <v>43052</v>
      </c>
      <c r="Q23" s="1">
        <v>43053</v>
      </c>
      <c r="R23" s="1">
        <v>43054</v>
      </c>
      <c r="S23" s="1">
        <v>43055</v>
      </c>
      <c r="T23" s="1">
        <v>43056</v>
      </c>
      <c r="U23" s="1">
        <v>43057</v>
      </c>
      <c r="V23" s="1">
        <v>43058</v>
      </c>
      <c r="W23" s="1">
        <v>43059</v>
      </c>
      <c r="X23" s="1">
        <v>43060</v>
      </c>
      <c r="Y23" s="1">
        <v>43061</v>
      </c>
      <c r="Z23" s="1">
        <v>43062</v>
      </c>
      <c r="AA23" s="1">
        <v>43063</v>
      </c>
      <c r="AB23" s="1">
        <v>43064</v>
      </c>
      <c r="AC23" s="1">
        <v>43065</v>
      </c>
      <c r="AD23" s="1">
        <v>43066</v>
      </c>
      <c r="AE23" s="1">
        <v>43067</v>
      </c>
      <c r="AF23" s="1">
        <v>43068</v>
      </c>
      <c r="AG23" s="1">
        <v>43069</v>
      </c>
    </row>
    <row r="24" spans="2:33" x14ac:dyDescent="0.25">
      <c r="B24" t="str">
        <f>'Suppliers and Pricing'!$B$5</f>
        <v>Vanilla</v>
      </c>
      <c r="C24">
        <v>45</v>
      </c>
      <c r="D24">
        <f>ROUNDDOWN((C24-(Sales!D24/8)), 0)</f>
        <v>42</v>
      </c>
      <c r="E24">
        <f>ROUNDDOWN((D24-(Sales!E24/8)), 0)</f>
        <v>40</v>
      </c>
      <c r="F24">
        <f>ROUNDDOWN((E24-(Sales!F24/8)), 0)</f>
        <v>38</v>
      </c>
      <c r="G24">
        <f>ROUNDDOWN((F24-(Sales!G24/8)), 0)</f>
        <v>36</v>
      </c>
      <c r="H24">
        <f>ROUNDDOWN((G24-(Sales!H24/8)), 0)</f>
        <v>33</v>
      </c>
      <c r="I24">
        <f>ROUNDDOWN((H24-(Sales!I24/8)), 0)</f>
        <v>30</v>
      </c>
      <c r="J24">
        <f>ROUNDDOWN((I24-(Sales!J24/8)), 0)</f>
        <v>28</v>
      </c>
      <c r="K24">
        <f>ROUNDDOWN((J24-(Sales!K24/8)), 0)</f>
        <v>26</v>
      </c>
      <c r="L24">
        <f>ROUNDDOWN((K24-(Sales!L24/8)), 0)</f>
        <v>24</v>
      </c>
      <c r="M24">
        <f>ROUNDDOWN((L24-(Sales!M24/8)), 0)</f>
        <v>22</v>
      </c>
      <c r="N24">
        <f>ROUNDDOWN((M24-(Sales!N24/8)), 0)</f>
        <v>19</v>
      </c>
      <c r="O24">
        <f>ROUNDDOWN((N24-(Sales!O24/8)), 0)</f>
        <v>16</v>
      </c>
      <c r="P24">
        <f>ROUNDDOWN((O24-(Sales!P24/8)), 0)</f>
        <v>14</v>
      </c>
      <c r="Q24">
        <f>ROUNDDOWN((P24-(Sales!Q24/8)), 0)</f>
        <v>12</v>
      </c>
      <c r="R24">
        <f>ROUNDDOWN((Q24-(Sales!R24/8)), 0)+30</f>
        <v>39</v>
      </c>
      <c r="S24">
        <f>ROUNDDOWN((R24-(Sales!S24/8)), 0)</f>
        <v>37</v>
      </c>
      <c r="T24">
        <f>ROUNDDOWN((S24-(Sales!T24/8)), 0)</f>
        <v>34</v>
      </c>
    </row>
    <row r="25" spans="2:33" x14ac:dyDescent="0.25">
      <c r="B25" t="str">
        <f>'Suppliers and Pricing'!$B$6</f>
        <v>Chocolate</v>
      </c>
      <c r="C25">
        <v>45</v>
      </c>
      <c r="D25">
        <f>ROUNDDOWN((C25-(Sales!D25/8)), 0)</f>
        <v>43</v>
      </c>
      <c r="E25">
        <f>ROUNDDOWN((D25-(Sales!E25/8)), 0)</f>
        <v>41</v>
      </c>
      <c r="F25">
        <f>ROUNDDOWN((E25-(Sales!F25/8)), 0)</f>
        <v>37</v>
      </c>
      <c r="G25">
        <f>ROUNDDOWN((F25-(Sales!G25/8)), 0)</f>
        <v>33</v>
      </c>
      <c r="H25">
        <f>ROUNDDOWN((G25-(Sales!H25/8)), 0)</f>
        <v>30</v>
      </c>
      <c r="I25">
        <f>ROUNDDOWN((H25-(Sales!I25/8)), 0)</f>
        <v>27</v>
      </c>
      <c r="J25">
        <f>ROUNDDOWN((I25-(Sales!J25/8)), 0)</f>
        <v>25</v>
      </c>
      <c r="K25">
        <f>ROUNDDOWN((J25-(Sales!K25/8)), 0)</f>
        <v>23</v>
      </c>
      <c r="L25">
        <f>ROUNDDOWN((K25-(Sales!L25/8)), 0)</f>
        <v>20</v>
      </c>
      <c r="M25">
        <f>ROUNDDOWN((L25-(Sales!M25/8)), 0)</f>
        <v>18</v>
      </c>
      <c r="N25">
        <f>ROUNDDOWN((M25-(Sales!N25/8)), 0)</f>
        <v>16</v>
      </c>
      <c r="O25">
        <f>ROUNDDOWN((N25-(Sales!O25/8)), 0)</f>
        <v>14</v>
      </c>
      <c r="P25">
        <f>ROUNDDOWN((O25-(Sales!P25/8)), 0)</f>
        <v>12</v>
      </c>
      <c r="Q25">
        <f>ROUNDDOWN((P25-(Sales!Q25/8)), 0)+30</f>
        <v>40</v>
      </c>
      <c r="R25">
        <f>ROUNDDOWN((Q25-(Sales!R25/8)), 0)</f>
        <v>38</v>
      </c>
      <c r="S25">
        <f>ROUNDDOWN((R25-(Sales!S25/8)), 0)</f>
        <v>36</v>
      </c>
      <c r="T25">
        <f>ROUNDDOWN((S25-(Sales!T25/8)), 0)</f>
        <v>32</v>
      </c>
    </row>
    <row r="26" spans="2:33" x14ac:dyDescent="0.25">
      <c r="B26" t="str">
        <f>'Suppliers and Pricing'!$B$7</f>
        <v>Strawberry</v>
      </c>
      <c r="C26">
        <v>45</v>
      </c>
      <c r="D26">
        <f>ROUNDDOWN((C26-(Sales!D26/8)), 0)</f>
        <v>42</v>
      </c>
      <c r="E26">
        <f>ROUNDDOWN((D26-(Sales!E26/8)), 0)</f>
        <v>40</v>
      </c>
      <c r="F26">
        <f>ROUNDDOWN((E26-(Sales!F26/8)), 0)</f>
        <v>37</v>
      </c>
      <c r="G26">
        <f>ROUNDDOWN((F26-(Sales!G26/8)), 0)</f>
        <v>35</v>
      </c>
      <c r="H26">
        <f>ROUNDDOWN((G26-(Sales!H26/8)), 0)</f>
        <v>33</v>
      </c>
      <c r="I26">
        <f>ROUNDDOWN((H26-(Sales!I26/8)), 0)</f>
        <v>31</v>
      </c>
      <c r="J26">
        <f>ROUNDDOWN((I26-(Sales!J26/8)), 0)</f>
        <v>29</v>
      </c>
      <c r="K26">
        <f>ROUNDDOWN((J26-(Sales!K26/8)), 0)</f>
        <v>27</v>
      </c>
      <c r="L26">
        <f>ROUNDDOWN((K26-(Sales!L26/8)), 0)</f>
        <v>25</v>
      </c>
      <c r="M26">
        <f>ROUNDDOWN((L26-(Sales!M26/8)), 0)</f>
        <v>23</v>
      </c>
      <c r="N26">
        <f>ROUNDDOWN((M26-(Sales!N26/8)), 0)</f>
        <v>21</v>
      </c>
      <c r="O26">
        <f>ROUNDDOWN((N26-(Sales!O26/8)), 0)</f>
        <v>19</v>
      </c>
      <c r="P26">
        <f>ROUNDDOWN((O26-(Sales!P26/8)), 0)</f>
        <v>16</v>
      </c>
      <c r="Q26">
        <f>ROUNDDOWN((P26-(Sales!Q26/8)), 0)</f>
        <v>14</v>
      </c>
      <c r="R26">
        <f>ROUNDDOWN((Q26-(Sales!R26/8)), 0)</f>
        <v>12</v>
      </c>
      <c r="S26">
        <f>ROUNDDOWN((R26-(Sales!S26/8)), 0)+30</f>
        <v>40</v>
      </c>
      <c r="T26">
        <f>ROUNDDOWN((S26-(Sales!T26/8)), 0)</f>
        <v>37</v>
      </c>
    </row>
    <row r="27" spans="2:33" x14ac:dyDescent="0.25">
      <c r="B27" t="str">
        <f>'Suppliers and Pricing'!$B$8</f>
        <v>Cookies and Cream</v>
      </c>
      <c r="C27">
        <v>45</v>
      </c>
      <c r="D27">
        <f>ROUNDDOWN((C27-(Sales!D27/8)), 0)</f>
        <v>42</v>
      </c>
      <c r="E27">
        <f>ROUNDDOWN((D27-(Sales!E27/8)), 0)</f>
        <v>39</v>
      </c>
      <c r="F27">
        <f>ROUNDDOWN((E27-(Sales!F27/8)), 0)</f>
        <v>36</v>
      </c>
      <c r="G27">
        <f>ROUNDDOWN((F27-(Sales!G27/8)), 0)</f>
        <v>32</v>
      </c>
      <c r="H27">
        <f>ROUNDDOWN((G27-(Sales!H27/8)), 0)</f>
        <v>30</v>
      </c>
      <c r="I27">
        <f>ROUNDDOWN((H27-(Sales!I27/8)), 0)</f>
        <v>28</v>
      </c>
      <c r="J27">
        <f>ROUNDDOWN((I27-(Sales!J27/8)), 0)</f>
        <v>26</v>
      </c>
      <c r="K27">
        <f>ROUNDDOWN((J27-(Sales!K27/8)), 0)</f>
        <v>24</v>
      </c>
      <c r="L27">
        <f>ROUNDDOWN((K27-(Sales!L27/8)), 0)</f>
        <v>22</v>
      </c>
      <c r="M27">
        <f>ROUNDDOWN((L27-(Sales!M27/8)), 0)</f>
        <v>19</v>
      </c>
      <c r="N27">
        <f>ROUNDDOWN((M27-(Sales!N27/8)), 0)</f>
        <v>15</v>
      </c>
      <c r="O27">
        <f>ROUNDDOWN((N27-(Sales!O27/8)), 0)</f>
        <v>13</v>
      </c>
      <c r="P27">
        <f>ROUNDDOWN((O27-(Sales!P27/8)), 0)</f>
        <v>10</v>
      </c>
      <c r="Q27">
        <f>ROUNDDOWN((P27-(Sales!Q27/8)), 0)+30</f>
        <v>37</v>
      </c>
      <c r="R27">
        <f>ROUNDDOWN((Q27-(Sales!R27/8)), 0)</f>
        <v>35</v>
      </c>
      <c r="S27">
        <f>ROUNDDOWN((R27-(Sales!S27/8)), 0)</f>
        <v>33</v>
      </c>
      <c r="T27">
        <f>ROUNDDOWN((S27-(Sales!T27/8)), 0)</f>
        <v>29</v>
      </c>
    </row>
    <row r="28" spans="2:33" x14ac:dyDescent="0.25">
      <c r="B28" t="str">
        <f>'Suppliers and Pricing'!$B$9</f>
        <v>Mint Chocolate Chip</v>
      </c>
      <c r="C28">
        <v>33</v>
      </c>
      <c r="D28">
        <f>ROUNDDOWN((C28-(Sales!D28/8)), 0)</f>
        <v>31</v>
      </c>
      <c r="E28">
        <f>ROUNDDOWN((D28-(Sales!E28/8)), 0)</f>
        <v>29</v>
      </c>
      <c r="F28">
        <f>ROUNDDOWN((E28-(Sales!F28/8)), 0)</f>
        <v>27</v>
      </c>
      <c r="G28">
        <f>ROUNDDOWN((F28-(Sales!G28/8)), 0)</f>
        <v>26</v>
      </c>
      <c r="H28">
        <f>ROUNDDOWN((G28-(Sales!H28/8)), 0)</f>
        <v>24</v>
      </c>
      <c r="I28">
        <f>ROUNDDOWN((H28-(Sales!I28/8)), 0)</f>
        <v>23</v>
      </c>
      <c r="J28">
        <f>ROUNDDOWN((I28-(Sales!J28/8)), 0)</f>
        <v>22</v>
      </c>
      <c r="K28">
        <f>ROUNDDOWN((J28-(Sales!K28/8)), 0)</f>
        <v>21</v>
      </c>
      <c r="L28">
        <f>ROUNDDOWN((K28-(Sales!L28/8)), 0)</f>
        <v>21</v>
      </c>
      <c r="M28">
        <f>ROUNDDOWN((L28-(Sales!M28/8)), 0)</f>
        <v>20</v>
      </c>
      <c r="N28">
        <f>ROUNDDOWN((M28-(Sales!N28/8)), 0)</f>
        <v>18</v>
      </c>
      <c r="O28">
        <f>ROUNDDOWN((N28-(Sales!O28/8)), 0)</f>
        <v>16</v>
      </c>
      <c r="P28">
        <f>ROUNDDOWN((O28-(Sales!P28/8)), 0)</f>
        <v>14</v>
      </c>
      <c r="Q28">
        <f>ROUNDDOWN((P28-(Sales!Q28/8)), 0)</f>
        <v>13</v>
      </c>
      <c r="R28">
        <f>ROUNDDOWN((Q28-(Sales!R28/8)), 0)</f>
        <v>12</v>
      </c>
      <c r="S28">
        <f>ROUNDDOWN((R28-(Sales!S28/8)), 0)</f>
        <v>10</v>
      </c>
      <c r="T28">
        <f>ROUNDDOWN((S28-(Sales!T28/8)), 0)</f>
        <v>9</v>
      </c>
    </row>
    <row r="29" spans="2:33" x14ac:dyDescent="0.25">
      <c r="B29" t="str">
        <f>'Suppliers and Pricing'!$B$10</f>
        <v>Mint</v>
      </c>
      <c r="C29">
        <v>33</v>
      </c>
      <c r="D29">
        <f>ROUNDDOWN((C29-(Sales!D29/8)), 0)</f>
        <v>31</v>
      </c>
      <c r="E29">
        <f>ROUNDDOWN((D29-(Sales!E29/8)), 0)</f>
        <v>30</v>
      </c>
      <c r="F29">
        <f>ROUNDDOWN((E29-(Sales!F29/8)), 0)</f>
        <v>28</v>
      </c>
      <c r="G29">
        <f>ROUNDDOWN((F29-(Sales!G29/8)), 0)</f>
        <v>26</v>
      </c>
      <c r="H29">
        <f>ROUNDDOWN((G29-(Sales!H29/8)), 0)</f>
        <v>23</v>
      </c>
      <c r="I29">
        <f>ROUNDDOWN((H29-(Sales!I29/8)), 0)</f>
        <v>22</v>
      </c>
      <c r="J29">
        <f>ROUNDDOWN((I29-(Sales!J29/8)), 0)</f>
        <v>22</v>
      </c>
      <c r="K29">
        <f>ROUNDDOWN((J29-(Sales!K29/8)), 0)</f>
        <v>21</v>
      </c>
      <c r="L29">
        <f>ROUNDDOWN((K29-(Sales!L29/8)), 0)</f>
        <v>21</v>
      </c>
      <c r="M29">
        <f>ROUNDDOWN((L29-(Sales!M29/8)), 0)</f>
        <v>19</v>
      </c>
      <c r="N29">
        <f>ROUNDDOWN((M29-(Sales!N29/8)), 0)</f>
        <v>18</v>
      </c>
      <c r="O29">
        <f>ROUNDDOWN((N29-(Sales!O29/8)), 0)</f>
        <v>16</v>
      </c>
      <c r="P29">
        <f>ROUNDDOWN((O29-(Sales!P29/8)), 0)</f>
        <v>15</v>
      </c>
      <c r="Q29">
        <f>ROUNDDOWN((P29-(Sales!Q29/8)), 0)</f>
        <v>13</v>
      </c>
      <c r="R29">
        <f>ROUNDDOWN((Q29-(Sales!R29/8)), 0)</f>
        <v>11</v>
      </c>
      <c r="S29">
        <f>ROUNDDOWN((R29-(Sales!S29/8)), 0)</f>
        <v>10</v>
      </c>
      <c r="T29">
        <f>ROUNDDOWN((S29-(Sales!T29/8)), 0)</f>
        <v>9</v>
      </c>
    </row>
    <row r="30" spans="2:33" x14ac:dyDescent="0.25">
      <c r="B30" t="str">
        <f>'Suppliers and Pricing'!$B$11</f>
        <v>Double Chocolate</v>
      </c>
      <c r="C30">
        <v>33</v>
      </c>
      <c r="D30">
        <f>ROUNDDOWN((C30-(Sales!D30/8)), 0)</f>
        <v>33</v>
      </c>
      <c r="E30">
        <f>ROUNDDOWN((D30-(Sales!E30/8)), 0)</f>
        <v>31</v>
      </c>
      <c r="F30">
        <f>ROUNDDOWN((E30-(Sales!F30/8)), 0)</f>
        <v>30</v>
      </c>
      <c r="G30">
        <f>ROUNDDOWN((F30-(Sales!G30/8)), 0)</f>
        <v>28</v>
      </c>
      <c r="H30">
        <f>ROUNDDOWN((G30-(Sales!H30/8)), 0)</f>
        <v>27</v>
      </c>
      <c r="I30">
        <f>ROUNDDOWN((H30-(Sales!I30/8)), 0)</f>
        <v>27</v>
      </c>
      <c r="J30">
        <f>ROUNDDOWN((I30-(Sales!J30/8)), 0)</f>
        <v>25</v>
      </c>
      <c r="K30">
        <f>ROUNDDOWN((J30-(Sales!K30/8)), 0)</f>
        <v>24</v>
      </c>
      <c r="L30">
        <f>ROUNDDOWN((K30-(Sales!L30/8)), 0)</f>
        <v>23</v>
      </c>
      <c r="M30">
        <f>ROUNDDOWN((L30-(Sales!M30/8)), 0)</f>
        <v>22</v>
      </c>
      <c r="N30">
        <f>ROUNDDOWN((M30-(Sales!N30/8)), 0)</f>
        <v>19</v>
      </c>
      <c r="O30">
        <f>ROUNDDOWN((N30-(Sales!O30/8)), 0)</f>
        <v>16</v>
      </c>
      <c r="P30">
        <f>ROUNDDOWN((O30-(Sales!P30/8)), 0)</f>
        <v>15</v>
      </c>
      <c r="Q30">
        <f>ROUNDDOWN((P30-(Sales!Q30/8)), 0)</f>
        <v>15</v>
      </c>
      <c r="R30">
        <f>ROUNDDOWN((Q30-(Sales!R30/8)), 0)</f>
        <v>13</v>
      </c>
      <c r="S30">
        <f>ROUNDDOWN((R30-(Sales!S30/8)), 0)</f>
        <v>11</v>
      </c>
      <c r="T30">
        <f>ROUNDDOWN((S30-(Sales!T30/8)), 0)</f>
        <v>9</v>
      </c>
    </row>
    <row r="31" spans="2:33" x14ac:dyDescent="0.25">
      <c r="B31" t="str">
        <f>'Suppliers and Pricing'!$B$12</f>
        <v>Rocky Road</v>
      </c>
      <c r="C31">
        <v>33</v>
      </c>
      <c r="D31">
        <f>ROUNDDOWN((C31-(Sales!D31/8)), 0)</f>
        <v>31</v>
      </c>
      <c r="E31">
        <f>ROUNDDOWN((D31-(Sales!E31/8)), 0)</f>
        <v>29</v>
      </c>
      <c r="F31">
        <f>ROUNDDOWN((E31-(Sales!F31/8)), 0)</f>
        <v>28</v>
      </c>
      <c r="G31">
        <f>ROUNDDOWN((F31-(Sales!G31/8)), 0)</f>
        <v>25</v>
      </c>
      <c r="H31">
        <f>ROUNDDOWN((G31-(Sales!H31/8)), 0)</f>
        <v>24</v>
      </c>
      <c r="I31">
        <f>ROUNDDOWN((H31-(Sales!I31/8)), 0)</f>
        <v>23</v>
      </c>
      <c r="J31">
        <f>ROUNDDOWN((I31-(Sales!J31/8)), 0)</f>
        <v>22</v>
      </c>
      <c r="K31">
        <f>ROUNDDOWN((J31-(Sales!K31/8)), 0)</f>
        <v>21</v>
      </c>
      <c r="L31">
        <f>ROUNDDOWN((K31-(Sales!L31/8)), 0)</f>
        <v>19</v>
      </c>
      <c r="M31">
        <f>ROUNDDOWN((L31-(Sales!M31/8)), 0)</f>
        <v>16</v>
      </c>
      <c r="N31">
        <f>ROUNDDOWN((M31-(Sales!N31/8)), 0)</f>
        <v>13</v>
      </c>
      <c r="O31">
        <f>ROUNDDOWN((N31-(Sales!O31/8)), 0)</f>
        <v>11</v>
      </c>
      <c r="P31">
        <f>ROUNDDOWN((O31-(Sales!P31/8)), 0)</f>
        <v>10</v>
      </c>
      <c r="Q31">
        <f>ROUNDDOWN((P31-(Sales!Q31/8)), 0)</f>
        <v>9</v>
      </c>
      <c r="R31">
        <f>ROUNDDOWN((Q31-(Sales!R31/8)), 0)</f>
        <v>7</v>
      </c>
      <c r="S31">
        <f>ROUNDDOWN((R31-(Sales!S31/8)), 0)+30</f>
        <v>36</v>
      </c>
      <c r="T31">
        <f>ROUNDDOWN((S31-(Sales!T31/8)), 0)</f>
        <v>33</v>
      </c>
    </row>
    <row r="32" spans="2:33" x14ac:dyDescent="0.25">
      <c r="B32" t="str">
        <f>'Suppliers and Pricing'!$B$13</f>
        <v>Fudge Brownie</v>
      </c>
      <c r="C32">
        <v>33</v>
      </c>
      <c r="D32">
        <f>ROUNDDOWN((C32-(Sales!D32/8)), 0)</f>
        <v>32</v>
      </c>
      <c r="E32">
        <f>ROUNDDOWN((D32-(Sales!E32/8)), 0)</f>
        <v>31</v>
      </c>
      <c r="F32">
        <f>ROUNDDOWN((E32-(Sales!F32/8)), 0)</f>
        <v>30</v>
      </c>
      <c r="G32">
        <f>ROUNDDOWN((F32-(Sales!G32/8)), 0)</f>
        <v>28</v>
      </c>
      <c r="H32">
        <f>ROUNDDOWN((G32-(Sales!H32/8)), 0)</f>
        <v>26</v>
      </c>
      <c r="I32">
        <f>ROUNDDOWN((H32-(Sales!I32/8)), 0)</f>
        <v>25</v>
      </c>
      <c r="J32">
        <f>ROUNDDOWN((I32-(Sales!J32/8)), 0)</f>
        <v>24</v>
      </c>
      <c r="K32">
        <f>ROUNDDOWN((J32-(Sales!K32/8)), 0)</f>
        <v>22</v>
      </c>
      <c r="L32">
        <f>ROUNDDOWN((K32-(Sales!L32/8)), 0)</f>
        <v>20</v>
      </c>
      <c r="M32">
        <f>ROUNDDOWN((L32-(Sales!M32/8)), 0)</f>
        <v>19</v>
      </c>
      <c r="N32">
        <f>ROUNDDOWN((M32-(Sales!N32/8)), 0)</f>
        <v>17</v>
      </c>
      <c r="O32">
        <f>ROUNDDOWN((N32-(Sales!O32/8)), 0)</f>
        <v>17</v>
      </c>
      <c r="P32">
        <f>ROUNDDOWN((O32-(Sales!P32/8)), 0)</f>
        <v>15</v>
      </c>
      <c r="Q32">
        <f>ROUNDDOWN((P32-(Sales!Q32/8)), 0)</f>
        <v>13</v>
      </c>
      <c r="R32">
        <f>ROUNDDOWN((Q32-(Sales!R32/8)), 0)</f>
        <v>11</v>
      </c>
      <c r="S32">
        <f>ROUNDDOWN((R32-(Sales!S32/8)), 0)</f>
        <v>10</v>
      </c>
      <c r="T32">
        <f>ROUNDDOWN((S32-(Sales!T32/8)), 0)</f>
        <v>7</v>
      </c>
    </row>
    <row r="33" spans="2:33" x14ac:dyDescent="0.25">
      <c r="B33" t="str">
        <f>'Suppliers and Pricing'!$B$14</f>
        <v>Reese's Peanut Butter Cup</v>
      </c>
      <c r="C33">
        <v>45</v>
      </c>
      <c r="D33">
        <f>ROUNDDOWN((C33-(Sales!D33/8)), 0)</f>
        <v>43</v>
      </c>
      <c r="E33">
        <f>ROUNDDOWN((D33-(Sales!E33/8)), 0)</f>
        <v>41</v>
      </c>
      <c r="F33">
        <f>ROUNDDOWN((E33-(Sales!F33/8)), 0)</f>
        <v>40</v>
      </c>
      <c r="G33">
        <f>ROUNDDOWN((F33-(Sales!G33/8)), 0)</f>
        <v>39</v>
      </c>
      <c r="H33">
        <f>ROUNDDOWN((G33-(Sales!H33/8)), 0)</f>
        <v>37</v>
      </c>
      <c r="I33">
        <f>ROUNDDOWN((H33-(Sales!I33/8)), 0)</f>
        <v>36</v>
      </c>
      <c r="J33">
        <f>ROUNDDOWN((I33-(Sales!J33/8)), 0)</f>
        <v>36</v>
      </c>
      <c r="K33">
        <f>ROUNDDOWN((J33-(Sales!K33/8)), 0)</f>
        <v>34</v>
      </c>
      <c r="L33">
        <f>ROUNDDOWN((K33-(Sales!L33/8)), 0)</f>
        <v>32</v>
      </c>
      <c r="M33">
        <f>ROUNDDOWN((L33-(Sales!M33/8)), 0)</f>
        <v>31</v>
      </c>
      <c r="N33">
        <f>ROUNDDOWN((M33-(Sales!N33/8)), 0)</f>
        <v>29</v>
      </c>
      <c r="O33">
        <f>ROUNDDOWN((N33-(Sales!O33/8)), 0)</f>
        <v>27</v>
      </c>
      <c r="P33">
        <f>ROUNDDOWN((O33-(Sales!P33/8)), 0)</f>
        <v>26</v>
      </c>
      <c r="Q33">
        <f>ROUNDDOWN((P33-(Sales!Q33/8)), 0)</f>
        <v>24</v>
      </c>
      <c r="R33">
        <f>ROUNDDOWN((Q33-(Sales!R33/8)), 0)</f>
        <v>22</v>
      </c>
      <c r="S33">
        <f>ROUNDDOWN((R33-(Sales!S33/8)), 0)</f>
        <v>20</v>
      </c>
      <c r="T33">
        <f>ROUNDDOWN((S33-(Sales!T33/8)), 0)</f>
        <v>17</v>
      </c>
    </row>
    <row r="37" spans="2:33" x14ac:dyDescent="0.25">
      <c r="B37" s="6" t="s">
        <v>22</v>
      </c>
      <c r="C37" s="6"/>
      <c r="D37" s="6"/>
      <c r="E37" s="6"/>
      <c r="F37" s="6"/>
      <c r="G37" s="6"/>
      <c r="H37" s="6"/>
      <c r="I37" s="6"/>
    </row>
    <row r="38" spans="2:33" x14ac:dyDescent="0.25">
      <c r="B38" t="s">
        <v>8</v>
      </c>
      <c r="C38" t="s">
        <v>18</v>
      </c>
      <c r="D38" s="1">
        <v>43040</v>
      </c>
      <c r="E38" s="1">
        <v>43041</v>
      </c>
      <c r="F38" s="1">
        <v>43042</v>
      </c>
      <c r="G38" s="1">
        <v>43043</v>
      </c>
      <c r="H38" s="1">
        <v>43044</v>
      </c>
      <c r="I38" s="1">
        <v>43045</v>
      </c>
      <c r="J38" s="1">
        <v>43046</v>
      </c>
      <c r="K38" s="1">
        <v>43047</v>
      </c>
      <c r="L38" s="1">
        <v>43048</v>
      </c>
      <c r="M38" s="1">
        <v>43049</v>
      </c>
      <c r="N38" s="1">
        <v>43050</v>
      </c>
      <c r="O38" s="1">
        <v>43051</v>
      </c>
      <c r="P38" s="1">
        <v>43052</v>
      </c>
      <c r="Q38" s="1">
        <v>43053</v>
      </c>
      <c r="R38" s="1">
        <v>43054</v>
      </c>
      <c r="S38" s="1">
        <v>43055</v>
      </c>
      <c r="T38" s="1">
        <v>43056</v>
      </c>
      <c r="U38" s="1">
        <v>43057</v>
      </c>
      <c r="V38" s="1">
        <v>43058</v>
      </c>
      <c r="W38" s="1">
        <v>43059</v>
      </c>
      <c r="X38" s="1">
        <v>43060</v>
      </c>
      <c r="Y38" s="1">
        <v>43061</v>
      </c>
      <c r="Z38" s="1">
        <v>43062</v>
      </c>
      <c r="AA38" s="1">
        <v>43063</v>
      </c>
      <c r="AB38" s="1">
        <v>43064</v>
      </c>
      <c r="AC38" s="1">
        <v>43065</v>
      </c>
      <c r="AD38" s="1">
        <v>43066</v>
      </c>
      <c r="AE38" s="1">
        <v>43067</v>
      </c>
      <c r="AF38" s="1">
        <v>43068</v>
      </c>
      <c r="AG38" s="1">
        <v>43069</v>
      </c>
    </row>
    <row r="39" spans="2:33" x14ac:dyDescent="0.25">
      <c r="B39" t="str">
        <f>'Suppliers and Pricing'!$B$5</f>
        <v>Vanilla</v>
      </c>
      <c r="C39">
        <v>45</v>
      </c>
      <c r="D39">
        <f>ROUNDDOWN((C39-(Sales!D39/8)), 0)</f>
        <v>42</v>
      </c>
      <c r="E39">
        <f>ROUNDDOWN((D39-(Sales!E39/8)), 0)</f>
        <v>39</v>
      </c>
      <c r="F39">
        <f>ROUNDDOWN((E39-(Sales!F39/8)), 0)</f>
        <v>37</v>
      </c>
      <c r="G39">
        <f>ROUNDDOWN((F39-(Sales!G39/8)), 0)</f>
        <v>35</v>
      </c>
      <c r="H39">
        <f>ROUNDDOWN((G39-(Sales!H39/8)), 0)</f>
        <v>33</v>
      </c>
      <c r="I39">
        <f>ROUNDDOWN((H39-(Sales!I39/8)), 0)</f>
        <v>31</v>
      </c>
      <c r="J39">
        <f>ROUNDDOWN((I39-(Sales!J39/8)), 0)</f>
        <v>29</v>
      </c>
      <c r="K39">
        <f>ROUNDDOWN((J39-(Sales!K39/8)), 0)</f>
        <v>27</v>
      </c>
      <c r="L39">
        <f>ROUNDDOWN((K39-(Sales!L39/8)), 0)</f>
        <v>25</v>
      </c>
      <c r="M39">
        <f>ROUNDDOWN((L39-(Sales!M39/8)), 0)</f>
        <v>21</v>
      </c>
      <c r="N39">
        <f>ROUNDDOWN((M39-(Sales!N39/8)), 0)</f>
        <v>18</v>
      </c>
      <c r="O39">
        <f>ROUNDDOWN((N39-(Sales!O39/8)), 0)</f>
        <v>15</v>
      </c>
      <c r="P39">
        <f>ROUNDDOWN((O39-(Sales!P39/8)), 0)</f>
        <v>13</v>
      </c>
      <c r="Q39">
        <f>ROUNDDOWN((P39-(Sales!Q39/8)), 0)</f>
        <v>10</v>
      </c>
      <c r="R39">
        <f>ROUNDDOWN((Q39-(Sales!R39/8)), 0)+30</f>
        <v>38</v>
      </c>
      <c r="S39">
        <f>ROUNDDOWN((R39-(Sales!S39/8)), 0)</f>
        <v>36</v>
      </c>
      <c r="T39">
        <f>ROUNDDOWN((S39-(Sales!T39/8)), 0)</f>
        <v>33</v>
      </c>
    </row>
    <row r="40" spans="2:33" x14ac:dyDescent="0.25">
      <c r="B40" t="str">
        <f>'Suppliers and Pricing'!$B$6</f>
        <v>Chocolate</v>
      </c>
      <c r="C40">
        <v>45</v>
      </c>
      <c r="D40">
        <f>ROUNDDOWN((C40-(Sales!D40/8)), 0)</f>
        <v>42</v>
      </c>
      <c r="E40">
        <f>ROUNDDOWN((D40-(Sales!E40/8)), 0)</f>
        <v>39</v>
      </c>
      <c r="F40">
        <f>ROUNDDOWN((E40-(Sales!F40/8)), 0)</f>
        <v>36</v>
      </c>
      <c r="G40">
        <f>ROUNDDOWN((F40-(Sales!G40/8)), 0)</f>
        <v>34</v>
      </c>
      <c r="H40">
        <f>ROUNDDOWN((G40-(Sales!H40/8)), 0)</f>
        <v>30</v>
      </c>
      <c r="I40">
        <f>ROUNDDOWN((H40-(Sales!I40/8)), 0)</f>
        <v>27</v>
      </c>
      <c r="J40">
        <f>ROUNDDOWN((I40-(Sales!J40/8)), 0)</f>
        <v>24</v>
      </c>
      <c r="K40">
        <f>ROUNDDOWN((J40-(Sales!K40/8)), 0)</f>
        <v>21</v>
      </c>
      <c r="L40">
        <f>ROUNDDOWN((K40-(Sales!L40/8)), 0)</f>
        <v>19</v>
      </c>
      <c r="M40">
        <f>ROUNDDOWN((L40-(Sales!M40/8)), 0)</f>
        <v>16</v>
      </c>
      <c r="N40">
        <f>ROUNDDOWN((M40-(Sales!N40/8)), 0)</f>
        <v>14</v>
      </c>
      <c r="O40">
        <f>ROUNDDOWN((N40-(Sales!O40/8)), 0)</f>
        <v>10</v>
      </c>
      <c r="P40">
        <f>ROUNDDOWN((O40-(Sales!P40/8)), 0)+30</f>
        <v>38</v>
      </c>
      <c r="Q40">
        <f>ROUNDDOWN((P40-(Sales!Q40/8)), 0)</f>
        <v>36</v>
      </c>
      <c r="R40">
        <f>ROUNDDOWN((Q40-(Sales!R40/8)), 0)</f>
        <v>33</v>
      </c>
      <c r="S40">
        <f>ROUNDDOWN((R40-(Sales!S40/8)), 0)</f>
        <v>31</v>
      </c>
      <c r="T40">
        <f>ROUNDDOWN((S40-(Sales!T40/8)), 0)</f>
        <v>27</v>
      </c>
    </row>
    <row r="41" spans="2:33" x14ac:dyDescent="0.25">
      <c r="B41" t="str">
        <f>'Suppliers and Pricing'!$B$7</f>
        <v>Strawberry</v>
      </c>
      <c r="C41">
        <v>45</v>
      </c>
      <c r="D41">
        <f>ROUNDDOWN((C41-(Sales!D41/8)), 0)</f>
        <v>42</v>
      </c>
      <c r="E41">
        <f>ROUNDDOWN((D41-(Sales!E41/8)), 0)</f>
        <v>39</v>
      </c>
      <c r="F41">
        <f>ROUNDDOWN((E41-(Sales!F41/8)), 0)</f>
        <v>37</v>
      </c>
      <c r="G41">
        <f>ROUNDDOWN((F41-(Sales!G41/8)), 0)</f>
        <v>34</v>
      </c>
      <c r="H41">
        <f>ROUNDDOWN((G41-(Sales!H41/8)), 0)</f>
        <v>32</v>
      </c>
      <c r="I41">
        <f>ROUNDDOWN((H41-(Sales!I41/8)), 0)</f>
        <v>29</v>
      </c>
      <c r="J41">
        <f>ROUNDDOWN((I41-(Sales!J41/8)), 0)</f>
        <v>27</v>
      </c>
      <c r="K41">
        <f>ROUNDDOWN((J41-(Sales!K41/8)), 0)</f>
        <v>24</v>
      </c>
      <c r="L41">
        <f>ROUNDDOWN((K41-(Sales!L41/8)), 0)</f>
        <v>22</v>
      </c>
      <c r="M41">
        <f>ROUNDDOWN((L41-(Sales!M41/8)), 0)</f>
        <v>19</v>
      </c>
      <c r="N41">
        <f>ROUNDDOWN((M41-(Sales!N41/8)), 0)</f>
        <v>16</v>
      </c>
      <c r="O41">
        <f>ROUNDDOWN((N41-(Sales!O41/8)), 0)</f>
        <v>13</v>
      </c>
      <c r="P41">
        <f>ROUNDDOWN((O41-(Sales!P41/8)), 0)</f>
        <v>11</v>
      </c>
      <c r="Q41">
        <f>ROUNDDOWN((P41-(Sales!Q41/8)), 0)+30</f>
        <v>39</v>
      </c>
      <c r="R41">
        <f>ROUNDDOWN((Q41-(Sales!R41/8)), 0)</f>
        <v>37</v>
      </c>
      <c r="S41">
        <f>ROUNDDOWN((R41-(Sales!S41/8)), 0)</f>
        <v>34</v>
      </c>
      <c r="T41">
        <f>ROUNDDOWN((S41-(Sales!T41/8)), 0)</f>
        <v>31</v>
      </c>
    </row>
    <row r="42" spans="2:33" x14ac:dyDescent="0.25">
      <c r="B42" t="str">
        <f>'Suppliers and Pricing'!$B$8</f>
        <v>Cookies and Cream</v>
      </c>
      <c r="C42">
        <v>45</v>
      </c>
      <c r="D42">
        <f>ROUNDDOWN((C42-(Sales!D42/8)), 0)</f>
        <v>43</v>
      </c>
      <c r="E42">
        <f>ROUNDDOWN((D42-(Sales!E42/8)), 0)</f>
        <v>40</v>
      </c>
      <c r="F42">
        <f>ROUNDDOWN((E42-(Sales!F42/8)), 0)</f>
        <v>36</v>
      </c>
      <c r="G42">
        <f>ROUNDDOWN((F42-(Sales!G42/8)), 0)</f>
        <v>34</v>
      </c>
      <c r="H42">
        <f>ROUNDDOWN((G42-(Sales!H42/8)), 0)</f>
        <v>30</v>
      </c>
      <c r="I42">
        <f>ROUNDDOWN((H42-(Sales!I42/8)), 0)</f>
        <v>27</v>
      </c>
      <c r="J42">
        <f>ROUNDDOWN((I42-(Sales!J42/8)), 0)</f>
        <v>25</v>
      </c>
      <c r="K42">
        <f>ROUNDDOWN((J42-(Sales!K42/8)), 0)</f>
        <v>23</v>
      </c>
      <c r="L42">
        <f>ROUNDDOWN((K42-(Sales!L42/8)), 0)</f>
        <v>21</v>
      </c>
      <c r="M42">
        <f>ROUNDDOWN((L42-(Sales!M42/8)), 0)</f>
        <v>18</v>
      </c>
      <c r="N42">
        <f>ROUNDDOWN((M42-(Sales!N42/8)), 0)</f>
        <v>15</v>
      </c>
      <c r="O42">
        <f>ROUNDDOWN((N42-(Sales!O42/8)), 0)</f>
        <v>11</v>
      </c>
      <c r="P42">
        <f>ROUNDDOWN((O42-(Sales!P42/8)), 0)+30</f>
        <v>38</v>
      </c>
      <c r="Q42">
        <f>ROUNDDOWN((P42-(Sales!Q42/8)), 0)</f>
        <v>36</v>
      </c>
      <c r="R42">
        <f>ROUNDDOWN((Q42-(Sales!R42/8)), 0)</f>
        <v>33</v>
      </c>
      <c r="S42">
        <f>ROUNDDOWN((R42-(Sales!S42/8)), 0)</f>
        <v>31</v>
      </c>
      <c r="T42">
        <f>ROUNDDOWN((S42-(Sales!T42/8)), 0)</f>
        <v>28</v>
      </c>
    </row>
    <row r="43" spans="2:33" x14ac:dyDescent="0.25">
      <c r="B43" t="str">
        <f>'Suppliers and Pricing'!$B$9</f>
        <v>Mint Chocolate Chip</v>
      </c>
      <c r="C43">
        <v>33</v>
      </c>
      <c r="D43">
        <f>ROUNDDOWN((C43-(Sales!D43/8)), 0)</f>
        <v>32</v>
      </c>
      <c r="E43">
        <f>ROUNDDOWN((D43-(Sales!E43/8)), 0)</f>
        <v>30</v>
      </c>
      <c r="F43">
        <f>ROUNDDOWN((E43-(Sales!F43/8)), 0)</f>
        <v>28</v>
      </c>
      <c r="G43">
        <f>ROUNDDOWN((F43-(Sales!G43/8)), 0)</f>
        <v>26</v>
      </c>
      <c r="H43">
        <f>ROUNDDOWN((G43-(Sales!H43/8)), 0)</f>
        <v>23</v>
      </c>
      <c r="I43">
        <f>ROUNDDOWN((H43-(Sales!I43/8)), 0)</f>
        <v>22</v>
      </c>
      <c r="J43">
        <f>ROUNDDOWN((I43-(Sales!J43/8)), 0)</f>
        <v>20</v>
      </c>
      <c r="K43">
        <f>ROUNDDOWN((J43-(Sales!K43/8)), 0)</f>
        <v>19</v>
      </c>
      <c r="L43">
        <f>ROUNDDOWN((K43-(Sales!L43/8)), 0)</f>
        <v>18</v>
      </c>
      <c r="M43">
        <f>ROUNDDOWN((L43-(Sales!M43/8)), 0)</f>
        <v>15</v>
      </c>
      <c r="N43">
        <f>ROUNDDOWN((M43-(Sales!N43/8)), 0)</f>
        <v>12</v>
      </c>
      <c r="O43">
        <f>ROUNDDOWN((N43-(Sales!O43/8)), 0)</f>
        <v>11</v>
      </c>
      <c r="P43">
        <f>ROUNDDOWN((O43-(Sales!P43/8)), 0)</f>
        <v>10</v>
      </c>
      <c r="Q43">
        <f>ROUNDDOWN((P43-(Sales!Q43/8)), 0)</f>
        <v>8</v>
      </c>
      <c r="R43">
        <f>ROUNDDOWN((Q43-(Sales!R43/8)), 0)+30</f>
        <v>37</v>
      </c>
      <c r="S43">
        <f>ROUNDDOWN((R43-(Sales!S43/8)), 0)</f>
        <v>36</v>
      </c>
      <c r="T43">
        <f>ROUNDDOWN((S43-(Sales!T43/8)), 0)</f>
        <v>34</v>
      </c>
    </row>
    <row r="44" spans="2:33" x14ac:dyDescent="0.25">
      <c r="B44" t="str">
        <f>'Suppliers and Pricing'!$B$10</f>
        <v>Mint</v>
      </c>
      <c r="C44">
        <v>33</v>
      </c>
      <c r="D44">
        <f>ROUNDDOWN((C44-(Sales!D44/8)), 0)</f>
        <v>32</v>
      </c>
      <c r="E44">
        <f>ROUNDDOWN((D44-(Sales!E44/8)), 0)</f>
        <v>32</v>
      </c>
      <c r="F44">
        <f>ROUNDDOWN((E44-(Sales!F44/8)), 0)</f>
        <v>30</v>
      </c>
      <c r="G44">
        <f>ROUNDDOWN((F44-(Sales!G44/8)), 0)</f>
        <v>29</v>
      </c>
      <c r="H44">
        <f>ROUNDDOWN((G44-(Sales!H44/8)), 0)</f>
        <v>26</v>
      </c>
      <c r="I44">
        <f>ROUNDDOWN((H44-(Sales!I44/8)), 0)</f>
        <v>25</v>
      </c>
      <c r="J44">
        <f>ROUNDDOWN((I44-(Sales!J44/8)), 0)</f>
        <v>23</v>
      </c>
      <c r="K44">
        <f>ROUNDDOWN((J44-(Sales!K44/8)), 0)</f>
        <v>22</v>
      </c>
      <c r="L44">
        <f>ROUNDDOWN((K44-(Sales!L44/8)), 0)</f>
        <v>21</v>
      </c>
      <c r="M44">
        <f>ROUNDDOWN((L44-(Sales!M44/8)), 0)</f>
        <v>20</v>
      </c>
      <c r="N44">
        <f>ROUNDDOWN((M44-(Sales!N44/8)), 0)</f>
        <v>19</v>
      </c>
      <c r="O44">
        <f>ROUNDDOWN((N44-(Sales!O44/8)), 0)</f>
        <v>17</v>
      </c>
      <c r="P44">
        <f>ROUNDDOWN((O44-(Sales!P44/8)), 0)</f>
        <v>16</v>
      </c>
      <c r="Q44">
        <f>ROUNDDOWN((P44-(Sales!Q44/8)), 0)</f>
        <v>15</v>
      </c>
      <c r="R44">
        <f>ROUNDDOWN((Q44-(Sales!R44/8)), 0)</f>
        <v>13</v>
      </c>
      <c r="S44">
        <f>ROUNDDOWN((R44-(Sales!S44/8)), 0)</f>
        <v>11</v>
      </c>
      <c r="T44">
        <f>ROUNDDOWN((S44-(Sales!T44/8)), 0)</f>
        <v>8</v>
      </c>
    </row>
    <row r="45" spans="2:33" x14ac:dyDescent="0.25">
      <c r="B45" t="str">
        <f>'Suppliers and Pricing'!$B$11</f>
        <v>Double Chocolate</v>
      </c>
      <c r="C45">
        <v>33</v>
      </c>
      <c r="D45">
        <f>ROUNDDOWN((C45-(Sales!D45/8)), 0)</f>
        <v>32</v>
      </c>
      <c r="E45">
        <f>ROUNDDOWN((D45-(Sales!E45/8)), 0)</f>
        <v>30</v>
      </c>
      <c r="F45">
        <f>ROUNDDOWN((E45-(Sales!F45/8)), 0)</f>
        <v>29</v>
      </c>
      <c r="G45">
        <f>ROUNDDOWN((F45-(Sales!G45/8)), 0)</f>
        <v>27</v>
      </c>
      <c r="H45">
        <f>ROUNDDOWN((G45-(Sales!H45/8)), 0)</f>
        <v>26</v>
      </c>
      <c r="I45">
        <f>ROUNDDOWN((H45-(Sales!I45/8)), 0)</f>
        <v>25</v>
      </c>
      <c r="J45">
        <f>ROUNDDOWN((I45-(Sales!J45/8)), 0)</f>
        <v>24</v>
      </c>
      <c r="K45">
        <f>ROUNDDOWN((J45-(Sales!K45/8)), 0)</f>
        <v>22</v>
      </c>
      <c r="L45">
        <f>ROUNDDOWN((K45-(Sales!L45/8)), 0)</f>
        <v>22</v>
      </c>
      <c r="M45">
        <f>ROUNDDOWN((L45-(Sales!M45/8)), 0)</f>
        <v>18</v>
      </c>
      <c r="N45">
        <f>ROUNDDOWN((M45-(Sales!N45/8)), 0)</f>
        <v>16</v>
      </c>
      <c r="O45">
        <f>ROUNDDOWN((N45-(Sales!O45/8)), 0)</f>
        <v>14</v>
      </c>
      <c r="P45">
        <f>ROUNDDOWN((O45-(Sales!P45/8)), 0)</f>
        <v>13</v>
      </c>
      <c r="Q45">
        <f>ROUNDDOWN((P45-(Sales!Q45/8)), 0)</f>
        <v>11</v>
      </c>
      <c r="R45">
        <f>ROUNDDOWN((Q45-(Sales!R45/8)), 0)</f>
        <v>9</v>
      </c>
      <c r="S45">
        <f>ROUNDDOWN((R45-(Sales!S45/8)), 0)</f>
        <v>8</v>
      </c>
      <c r="T45">
        <f>ROUNDDOWN((S45-(Sales!T45/8)), 0)+30</f>
        <v>34</v>
      </c>
    </row>
    <row r="46" spans="2:33" x14ac:dyDescent="0.25">
      <c r="B46" t="str">
        <f>'Suppliers and Pricing'!$B$12</f>
        <v>Rocky Road</v>
      </c>
      <c r="C46">
        <v>33</v>
      </c>
      <c r="D46">
        <f>ROUNDDOWN((C46-(Sales!D46/8)), 0)</f>
        <v>33</v>
      </c>
      <c r="E46">
        <f>ROUNDDOWN((D46-(Sales!E46/8)), 0)</f>
        <v>31</v>
      </c>
      <c r="F46">
        <f>ROUNDDOWN((E46-(Sales!F46/8)), 0)</f>
        <v>27</v>
      </c>
      <c r="G46">
        <f>ROUNDDOWN((F46-(Sales!G46/8)), 0)</f>
        <v>25</v>
      </c>
      <c r="H46">
        <f>ROUNDDOWN((G46-(Sales!H46/8)), 0)</f>
        <v>23</v>
      </c>
      <c r="I46">
        <f>ROUNDDOWN((H46-(Sales!I46/8)), 0)</f>
        <v>21</v>
      </c>
      <c r="J46">
        <f>ROUNDDOWN((I46-(Sales!J46/8)), 0)</f>
        <v>20</v>
      </c>
      <c r="K46">
        <f>ROUNDDOWN((J46-(Sales!K46/8)), 0)</f>
        <v>18</v>
      </c>
      <c r="L46">
        <f>ROUNDDOWN((K46-(Sales!L46/8)), 0)</f>
        <v>16</v>
      </c>
      <c r="M46">
        <f>ROUNDDOWN((L46-(Sales!M46/8)), 0)</f>
        <v>15</v>
      </c>
      <c r="N46">
        <f>ROUNDDOWN((M46-(Sales!N46/8)), 0)</f>
        <v>12</v>
      </c>
      <c r="O46">
        <f>ROUNDDOWN((N46-(Sales!O46/8)), 0)</f>
        <v>10</v>
      </c>
      <c r="P46">
        <f>ROUNDDOWN((O46-(Sales!P46/8)), 0)</f>
        <v>8</v>
      </c>
      <c r="Q46">
        <f>ROUNDDOWN((P46-(Sales!Q46/8)), 0)+30</f>
        <v>37</v>
      </c>
      <c r="R46">
        <f>ROUNDDOWN((Q46-(Sales!R46/8)), 0)</f>
        <v>36</v>
      </c>
      <c r="S46">
        <f>ROUNDDOWN((R46-(Sales!S46/8)), 0)</f>
        <v>34</v>
      </c>
      <c r="T46">
        <f>ROUNDDOWN((S46-(Sales!T46/8)), 0)</f>
        <v>31</v>
      </c>
    </row>
    <row r="47" spans="2:33" x14ac:dyDescent="0.25">
      <c r="B47" t="str">
        <f>'Suppliers and Pricing'!$B$13</f>
        <v>Fudge Brownie</v>
      </c>
      <c r="C47">
        <v>33</v>
      </c>
      <c r="D47">
        <f>ROUNDDOWN((C47-(Sales!D47/8)), 0)</f>
        <v>31</v>
      </c>
      <c r="E47">
        <f>ROUNDDOWN((D47-(Sales!E47/8)), 0)</f>
        <v>29</v>
      </c>
      <c r="F47">
        <f>ROUNDDOWN((E47-(Sales!F47/8)), 0)</f>
        <v>28</v>
      </c>
      <c r="G47">
        <f>ROUNDDOWN((F47-(Sales!G47/8)), 0)</f>
        <v>27</v>
      </c>
      <c r="H47">
        <f>ROUNDDOWN((G47-(Sales!H47/8)), 0)</f>
        <v>25</v>
      </c>
      <c r="I47">
        <f>ROUNDDOWN((H47-(Sales!I47/8)), 0)</f>
        <v>23</v>
      </c>
      <c r="J47">
        <f>ROUNDDOWN((I47-(Sales!J47/8)), 0)</f>
        <v>21</v>
      </c>
      <c r="K47">
        <f>ROUNDDOWN((J47-(Sales!K47/8)), 0)</f>
        <v>21</v>
      </c>
      <c r="L47">
        <f>ROUNDDOWN((K47-(Sales!L47/8)), 0)</f>
        <v>20</v>
      </c>
      <c r="M47">
        <f>ROUNDDOWN((L47-(Sales!M47/8)), 0)</f>
        <v>17</v>
      </c>
      <c r="N47">
        <f>ROUNDDOWN((M47-(Sales!N47/8)), 0)</f>
        <v>15</v>
      </c>
      <c r="O47">
        <f>ROUNDDOWN((N47-(Sales!O47/8)), 0)</f>
        <v>12</v>
      </c>
      <c r="P47">
        <f>ROUNDDOWN((O47-(Sales!P47/8)), 0)</f>
        <v>11</v>
      </c>
      <c r="Q47">
        <f>ROUNDDOWN((P47-(Sales!Q47/8)), 0)</f>
        <v>10</v>
      </c>
      <c r="R47">
        <f>ROUNDDOWN((Q47-(Sales!R47/8)), 0)</f>
        <v>9</v>
      </c>
      <c r="S47">
        <f>ROUNDDOWN((R47-(Sales!S47/8)), 0)</f>
        <v>8</v>
      </c>
      <c r="T47">
        <f>ROUNDDOWN((S47-(Sales!T47/8)), 0)+30</f>
        <v>35</v>
      </c>
    </row>
    <row r="48" spans="2:33" x14ac:dyDescent="0.25">
      <c r="B48" t="str">
        <f>'Suppliers and Pricing'!$B$14</f>
        <v>Reese's Peanut Butter Cup</v>
      </c>
      <c r="C48">
        <v>45</v>
      </c>
      <c r="D48">
        <f>ROUNDDOWN((C48-(Sales!D48/8)), 0)</f>
        <v>43</v>
      </c>
      <c r="E48">
        <f>ROUNDDOWN((D48-(Sales!E48/8)), 0)</f>
        <v>42</v>
      </c>
      <c r="F48">
        <f>ROUNDDOWN((E48-(Sales!F48/8)), 0)</f>
        <v>41</v>
      </c>
      <c r="G48">
        <f>ROUNDDOWN((F48-(Sales!G48/8)), 0)</f>
        <v>38</v>
      </c>
      <c r="H48">
        <f>ROUNDDOWN((G48-(Sales!H48/8)), 0)</f>
        <v>36</v>
      </c>
      <c r="I48">
        <f>ROUNDDOWN((H48-(Sales!I48/8)), 0)</f>
        <v>34</v>
      </c>
      <c r="J48">
        <f>ROUNDDOWN((I48-(Sales!J48/8)), 0)</f>
        <v>32</v>
      </c>
      <c r="K48">
        <f>ROUNDDOWN((J48-(Sales!K48/8)), 0)</f>
        <v>30</v>
      </c>
      <c r="L48">
        <f>ROUNDDOWN((K48-(Sales!L48/8)), 0)</f>
        <v>28</v>
      </c>
      <c r="M48">
        <f>ROUNDDOWN((L48-(Sales!M48/8)), 0)</f>
        <v>26</v>
      </c>
      <c r="N48">
        <f>ROUNDDOWN((M48-(Sales!N48/8)), 0)</f>
        <v>25</v>
      </c>
      <c r="O48">
        <f>ROUNDDOWN((N48-(Sales!O48/8)), 0)</f>
        <v>24</v>
      </c>
      <c r="P48">
        <f>ROUNDDOWN((O48-(Sales!P48/8)), 0)</f>
        <v>23</v>
      </c>
      <c r="Q48">
        <f>ROUNDDOWN((P48-(Sales!Q48/8)), 0)</f>
        <v>23</v>
      </c>
      <c r="R48">
        <f>ROUNDDOWN((Q48-(Sales!R48/8)), 0)</f>
        <v>21</v>
      </c>
      <c r="S48">
        <f>ROUNDDOWN((R48-(Sales!S48/8)), 0)</f>
        <v>19</v>
      </c>
      <c r="T48">
        <f>ROUNDDOWN((S48-(Sales!T48/8)), 0)</f>
        <v>17</v>
      </c>
    </row>
    <row r="52" spans="2:33" x14ac:dyDescent="0.25">
      <c r="B52" s="6" t="s">
        <v>23</v>
      </c>
      <c r="C52" s="6"/>
      <c r="D52" s="6"/>
      <c r="E52" s="6"/>
      <c r="F52" s="6"/>
      <c r="G52" s="6"/>
      <c r="H52" s="6"/>
      <c r="I52" s="6"/>
    </row>
    <row r="53" spans="2:33" x14ac:dyDescent="0.25">
      <c r="B53" t="s">
        <v>8</v>
      </c>
      <c r="C53" t="s">
        <v>18</v>
      </c>
      <c r="D53" s="1">
        <v>43040</v>
      </c>
      <c r="E53" s="1">
        <v>43041</v>
      </c>
      <c r="F53" s="1">
        <v>43042</v>
      </c>
      <c r="G53" s="1">
        <v>43043</v>
      </c>
      <c r="H53" s="1">
        <v>43044</v>
      </c>
      <c r="I53" s="1">
        <v>43045</v>
      </c>
      <c r="J53" s="1">
        <v>43046</v>
      </c>
      <c r="K53" s="1">
        <v>43047</v>
      </c>
      <c r="L53" s="1">
        <v>43048</v>
      </c>
      <c r="M53" s="1">
        <v>43049</v>
      </c>
      <c r="N53" s="1">
        <v>43050</v>
      </c>
      <c r="O53" s="1">
        <v>43051</v>
      </c>
      <c r="P53" s="1">
        <v>43052</v>
      </c>
      <c r="Q53" s="1">
        <v>43053</v>
      </c>
      <c r="R53" s="1">
        <v>43054</v>
      </c>
      <c r="S53" s="1">
        <v>43055</v>
      </c>
      <c r="T53" s="1">
        <v>43056</v>
      </c>
      <c r="U53" s="1">
        <v>43057</v>
      </c>
      <c r="V53" s="1">
        <v>43058</v>
      </c>
      <c r="W53" s="1">
        <v>43059</v>
      </c>
      <c r="X53" s="1">
        <v>43060</v>
      </c>
      <c r="Y53" s="1">
        <v>43061</v>
      </c>
      <c r="Z53" s="1">
        <v>43062</v>
      </c>
      <c r="AA53" s="1">
        <v>43063</v>
      </c>
      <c r="AB53" s="1">
        <v>43064</v>
      </c>
      <c r="AC53" s="1">
        <v>43065</v>
      </c>
      <c r="AD53" s="1">
        <v>43066</v>
      </c>
      <c r="AE53" s="1">
        <v>43067</v>
      </c>
      <c r="AF53" s="1">
        <v>43068</v>
      </c>
      <c r="AG53" s="1">
        <v>43069</v>
      </c>
    </row>
    <row r="54" spans="2:33" x14ac:dyDescent="0.25">
      <c r="B54" t="str">
        <f>'Suppliers and Pricing'!$B$5</f>
        <v>Vanilla</v>
      </c>
      <c r="C54">
        <v>50</v>
      </c>
      <c r="D54">
        <f>ROUNDDOWN((C54-(Sales!D54/8)), 0)</f>
        <v>48</v>
      </c>
      <c r="E54">
        <f>ROUNDDOWN((D54-(Sales!E54/8)), 0)</f>
        <v>46</v>
      </c>
      <c r="F54">
        <f>ROUNDDOWN((E54-(Sales!F54/8)), 0)</f>
        <v>44</v>
      </c>
      <c r="G54">
        <f>ROUNDDOWN((F54-(Sales!G54/8)), 0)</f>
        <v>41</v>
      </c>
      <c r="H54">
        <f>ROUNDDOWN((G54-(Sales!H54/8)), 0)</f>
        <v>39</v>
      </c>
      <c r="I54">
        <f>ROUNDDOWN((H54-(Sales!I54/8)), 0)</f>
        <v>36</v>
      </c>
      <c r="J54">
        <f>ROUNDDOWN((I54-(Sales!J54/8)), 0)</f>
        <v>34</v>
      </c>
      <c r="K54">
        <f>ROUNDDOWN((J54-(Sales!K54/8)), 0)</f>
        <v>32</v>
      </c>
      <c r="L54">
        <f>ROUNDDOWN((K54-(Sales!L54/8)), 0)</f>
        <v>30</v>
      </c>
      <c r="M54">
        <f>ROUNDDOWN((L54-(Sales!M54/8)), 0)</f>
        <v>27</v>
      </c>
      <c r="N54">
        <f>ROUNDDOWN((M54-(Sales!N54/8)), 0)</f>
        <v>24</v>
      </c>
      <c r="O54">
        <f>ROUNDDOWN((N54-(Sales!O54/8)), 0)</f>
        <v>22</v>
      </c>
      <c r="P54">
        <f>ROUNDDOWN((O54-(Sales!P54/8)), 0)</f>
        <v>20</v>
      </c>
      <c r="Q54">
        <f>ROUNDDOWN((P54-(Sales!Q54/8)), 0)</f>
        <v>17</v>
      </c>
      <c r="R54">
        <f>ROUNDDOWN((Q54-(Sales!R54/8)), 0)</f>
        <v>15</v>
      </c>
      <c r="S54">
        <f>ROUNDDOWN((R54-(Sales!S54/8)), 0)</f>
        <v>13</v>
      </c>
      <c r="T54">
        <f>ROUNDDOWN((S54-(Sales!T54/8)), 0)</f>
        <v>9</v>
      </c>
    </row>
    <row r="55" spans="2:33" x14ac:dyDescent="0.25">
      <c r="B55" t="str">
        <f>'Suppliers and Pricing'!$B$6</f>
        <v>Chocolate</v>
      </c>
      <c r="C55">
        <v>50</v>
      </c>
      <c r="D55">
        <f>ROUNDDOWN((C55-(Sales!D55/8)), 0)</f>
        <v>48</v>
      </c>
      <c r="E55">
        <f>ROUNDDOWN((D55-(Sales!E55/8)), 0)</f>
        <v>46</v>
      </c>
      <c r="F55">
        <f>ROUNDDOWN((E55-(Sales!F55/8)), 0)</f>
        <v>43</v>
      </c>
      <c r="G55">
        <f>ROUNDDOWN((F55-(Sales!G55/8)), 0)</f>
        <v>39</v>
      </c>
      <c r="H55">
        <f>ROUNDDOWN((G55-(Sales!H55/8)), 0)</f>
        <v>35</v>
      </c>
      <c r="I55">
        <f>ROUNDDOWN((H55-(Sales!I55/8)), 0)</f>
        <v>33</v>
      </c>
      <c r="J55">
        <f>ROUNDDOWN((I55-(Sales!J55/8)), 0)</f>
        <v>30</v>
      </c>
      <c r="K55">
        <f>ROUNDDOWN((J55-(Sales!K55/8)), 0)</f>
        <v>27</v>
      </c>
      <c r="L55">
        <f>ROUNDDOWN((K55-(Sales!L55/8)), 0)</f>
        <v>25</v>
      </c>
      <c r="M55">
        <f>ROUNDDOWN((L55-(Sales!M55/8)), 0)</f>
        <v>21</v>
      </c>
      <c r="N55">
        <f>ROUNDDOWN((M55-(Sales!N55/8)), 0)</f>
        <v>18</v>
      </c>
      <c r="O55">
        <f>ROUNDDOWN((N55-(Sales!O55/8)), 0)</f>
        <v>15</v>
      </c>
      <c r="P55">
        <f>ROUNDDOWN((O55-(Sales!P55/8)), 0)</f>
        <v>12</v>
      </c>
      <c r="Q55">
        <f>ROUNDDOWN((P55-(Sales!Q55/8)), 0)+30</f>
        <v>40</v>
      </c>
      <c r="R55">
        <f>ROUNDDOWN((Q55-(Sales!R55/8)), 0)</f>
        <v>38</v>
      </c>
      <c r="S55">
        <f>ROUNDDOWN((R55-(Sales!S55/8)), 0)</f>
        <v>36</v>
      </c>
      <c r="T55">
        <f>ROUNDDOWN((S55-(Sales!T55/8)), 0)</f>
        <v>32</v>
      </c>
    </row>
    <row r="56" spans="2:33" x14ac:dyDescent="0.25">
      <c r="B56" t="str">
        <f>'Suppliers and Pricing'!$B$7</f>
        <v>Strawberry</v>
      </c>
      <c r="C56">
        <v>50</v>
      </c>
      <c r="D56">
        <f>ROUNDDOWN((C56-(Sales!D56/8)), 0)</f>
        <v>48</v>
      </c>
      <c r="E56">
        <f>ROUNDDOWN((D56-(Sales!E56/8)), 0)</f>
        <v>46</v>
      </c>
      <c r="F56">
        <f>ROUNDDOWN((E56-(Sales!F56/8)), 0)</f>
        <v>43</v>
      </c>
      <c r="G56">
        <f>ROUNDDOWN((F56-(Sales!G56/8)), 0)</f>
        <v>41</v>
      </c>
      <c r="H56">
        <f>ROUNDDOWN((G56-(Sales!H56/8)), 0)</f>
        <v>37</v>
      </c>
      <c r="I56">
        <f>ROUNDDOWN((H56-(Sales!I56/8)), 0)</f>
        <v>35</v>
      </c>
      <c r="J56">
        <f>ROUNDDOWN((I56-(Sales!J56/8)), 0)</f>
        <v>32</v>
      </c>
      <c r="K56">
        <f>ROUNDDOWN((J56-(Sales!K56/8)), 0)</f>
        <v>30</v>
      </c>
      <c r="L56">
        <f>ROUNDDOWN((K56-(Sales!L56/8)), 0)</f>
        <v>28</v>
      </c>
      <c r="M56">
        <f>ROUNDDOWN((L56-(Sales!M56/8)), 0)</f>
        <v>25</v>
      </c>
      <c r="N56">
        <f>ROUNDDOWN((M56-(Sales!N56/8)), 0)</f>
        <v>21</v>
      </c>
      <c r="O56">
        <f>ROUNDDOWN((N56-(Sales!O56/8)), 0)</f>
        <v>19</v>
      </c>
      <c r="P56">
        <f>ROUNDDOWN((O56-(Sales!P56/8)), 0)</f>
        <v>16</v>
      </c>
      <c r="Q56">
        <f>ROUNDDOWN((P56-(Sales!Q56/8)), 0)</f>
        <v>13</v>
      </c>
      <c r="R56">
        <f>ROUNDDOWN((Q56-(Sales!R56/8)), 0)</f>
        <v>11</v>
      </c>
      <c r="S56">
        <f>ROUNDDOWN((R56-(Sales!S56/8)), 0)+30</f>
        <v>38</v>
      </c>
      <c r="T56">
        <f>ROUNDDOWN((S56-(Sales!T56/8)), 0)</f>
        <v>35</v>
      </c>
    </row>
    <row r="57" spans="2:33" x14ac:dyDescent="0.25">
      <c r="B57" t="str">
        <f>'Suppliers and Pricing'!$B$8</f>
        <v>Cookies and Cream</v>
      </c>
      <c r="C57">
        <v>50</v>
      </c>
      <c r="D57">
        <f>ROUNDDOWN((C57-(Sales!D57/8)), 0)</f>
        <v>47</v>
      </c>
      <c r="E57">
        <f>ROUNDDOWN((D57-(Sales!E57/8)), 0)</f>
        <v>44</v>
      </c>
      <c r="F57">
        <f>ROUNDDOWN((E57-(Sales!F57/8)), 0)</f>
        <v>40</v>
      </c>
      <c r="G57">
        <f>ROUNDDOWN((F57-(Sales!G57/8)), 0)</f>
        <v>38</v>
      </c>
      <c r="H57">
        <f>ROUNDDOWN((G57-(Sales!H57/8)), 0)</f>
        <v>36</v>
      </c>
      <c r="I57">
        <f>ROUNDDOWN((H57-(Sales!I57/8)), 0)</f>
        <v>34</v>
      </c>
      <c r="J57">
        <f>ROUNDDOWN((I57-(Sales!J57/8)), 0)</f>
        <v>31</v>
      </c>
      <c r="K57">
        <f>ROUNDDOWN((J57-(Sales!K57/8)), 0)</f>
        <v>28</v>
      </c>
      <c r="L57">
        <f>ROUNDDOWN((K57-(Sales!L57/8)), 0)</f>
        <v>25</v>
      </c>
      <c r="M57">
        <f>ROUNDDOWN((L57-(Sales!M57/8)), 0)</f>
        <v>23</v>
      </c>
      <c r="N57">
        <f>ROUNDDOWN((M57-(Sales!N57/8)), 0)</f>
        <v>19</v>
      </c>
      <c r="O57">
        <f>ROUNDDOWN((N57-(Sales!O57/8)), 0)</f>
        <v>15</v>
      </c>
      <c r="P57">
        <f>ROUNDDOWN((O57-(Sales!P57/8)), 0)</f>
        <v>12</v>
      </c>
      <c r="Q57">
        <f>ROUNDDOWN((P57-(Sales!Q57/8)), 0)+30</f>
        <v>40</v>
      </c>
      <c r="R57">
        <f>ROUNDDOWN((Q57-(Sales!R57/8)), 0)</f>
        <v>37</v>
      </c>
      <c r="S57">
        <f>ROUNDDOWN((R57-(Sales!S57/8)), 0)</f>
        <v>35</v>
      </c>
      <c r="T57">
        <f>ROUNDDOWN((S57-(Sales!T57/8)), 0)</f>
        <v>32</v>
      </c>
    </row>
    <row r="58" spans="2:33" x14ac:dyDescent="0.25">
      <c r="B58" t="str">
        <f>'Suppliers and Pricing'!$B$9</f>
        <v>Mint Chocolate Chip</v>
      </c>
      <c r="C58">
        <v>38</v>
      </c>
      <c r="D58">
        <f>ROUNDDOWN((C58-(Sales!D58/8)), 0)</f>
        <v>37</v>
      </c>
      <c r="E58">
        <f>ROUNDDOWN((D58-(Sales!E58/8)), 0)</f>
        <v>36</v>
      </c>
      <c r="F58">
        <f>ROUNDDOWN((E58-(Sales!F58/8)), 0)</f>
        <v>35</v>
      </c>
      <c r="G58">
        <f>ROUNDDOWN((F58-(Sales!G58/8)), 0)</f>
        <v>32</v>
      </c>
      <c r="H58">
        <f>ROUNDDOWN((G58-(Sales!H58/8)), 0)</f>
        <v>31</v>
      </c>
      <c r="I58">
        <f>ROUNDDOWN((H58-(Sales!I58/8)), 0)</f>
        <v>30</v>
      </c>
      <c r="J58">
        <f>ROUNDDOWN((I58-(Sales!J58/8)), 0)</f>
        <v>28</v>
      </c>
      <c r="K58">
        <f>ROUNDDOWN((J58-(Sales!K58/8)), 0)</f>
        <v>26</v>
      </c>
      <c r="L58">
        <f>ROUNDDOWN((K58-(Sales!L58/8)), 0)</f>
        <v>24</v>
      </c>
      <c r="M58">
        <f>ROUNDDOWN((L58-(Sales!M58/8)), 0)</f>
        <v>23</v>
      </c>
      <c r="N58">
        <f>ROUNDDOWN((M58-(Sales!N58/8)), 0)</f>
        <v>21</v>
      </c>
      <c r="O58">
        <f>ROUNDDOWN((N58-(Sales!O58/8)), 0)</f>
        <v>18</v>
      </c>
      <c r="P58">
        <f>ROUNDDOWN((O58-(Sales!P58/8)), 0)</f>
        <v>17</v>
      </c>
      <c r="Q58">
        <f>ROUNDDOWN((P58-(Sales!Q58/8)), 0)</f>
        <v>16</v>
      </c>
      <c r="R58">
        <f>ROUNDDOWN((Q58-(Sales!R58/8)), 0)</f>
        <v>15</v>
      </c>
      <c r="S58">
        <f>ROUNDDOWN((R58-(Sales!S58/8)), 0)</f>
        <v>14</v>
      </c>
      <c r="T58">
        <f>ROUNDDOWN((S58-(Sales!T58/8)), 0)</f>
        <v>11</v>
      </c>
    </row>
    <row r="59" spans="2:33" x14ac:dyDescent="0.25">
      <c r="B59" t="str">
        <f>'Suppliers and Pricing'!$B$10</f>
        <v>Mint</v>
      </c>
      <c r="C59">
        <v>38</v>
      </c>
      <c r="D59">
        <f>ROUNDDOWN((C59-(Sales!D59/8)), 0)</f>
        <v>36</v>
      </c>
      <c r="E59">
        <f>ROUNDDOWN((D59-(Sales!E59/8)), 0)</f>
        <v>34</v>
      </c>
      <c r="F59">
        <f>ROUNDDOWN((E59-(Sales!F59/8)), 0)</f>
        <v>32</v>
      </c>
      <c r="G59">
        <f>ROUNDDOWN((F59-(Sales!G59/8)), 0)</f>
        <v>31</v>
      </c>
      <c r="H59">
        <f>ROUNDDOWN((G59-(Sales!H59/8)), 0)</f>
        <v>28</v>
      </c>
      <c r="I59">
        <f>ROUNDDOWN((H59-(Sales!I59/8)), 0)</f>
        <v>27</v>
      </c>
      <c r="J59">
        <f>ROUNDDOWN((I59-(Sales!J59/8)), 0)</f>
        <v>25</v>
      </c>
      <c r="K59">
        <f>ROUNDDOWN((J59-(Sales!K59/8)), 0)</f>
        <v>23</v>
      </c>
      <c r="L59">
        <f>ROUNDDOWN((K59-(Sales!L59/8)), 0)</f>
        <v>21</v>
      </c>
      <c r="M59">
        <f>ROUNDDOWN((L59-(Sales!M59/8)), 0)</f>
        <v>19</v>
      </c>
      <c r="N59">
        <f>ROUNDDOWN((M59-(Sales!N59/8)), 0)</f>
        <v>19</v>
      </c>
      <c r="O59">
        <f>ROUNDDOWN((N59-(Sales!O59/8)), 0)</f>
        <v>17</v>
      </c>
      <c r="P59">
        <f>ROUNDDOWN((O59-(Sales!P59/8)), 0)</f>
        <v>15</v>
      </c>
      <c r="Q59">
        <f>ROUNDDOWN((P59-(Sales!Q59/8)), 0)</f>
        <v>13</v>
      </c>
      <c r="R59">
        <f>ROUNDDOWN((Q59-(Sales!R59/8)), 0)</f>
        <v>12</v>
      </c>
      <c r="S59">
        <f>ROUNDDOWN((R59-(Sales!S59/8)), 0)</f>
        <v>11</v>
      </c>
      <c r="T59">
        <f>ROUNDDOWN((S59-(Sales!T59/8)), 0)</f>
        <v>9</v>
      </c>
    </row>
    <row r="60" spans="2:33" x14ac:dyDescent="0.25">
      <c r="B60" t="str">
        <f>'Suppliers and Pricing'!$B$11</f>
        <v>Double Chocolate</v>
      </c>
      <c r="C60">
        <v>38</v>
      </c>
      <c r="D60">
        <f>ROUNDDOWN((C60-(Sales!D60/8)), 0)</f>
        <v>36</v>
      </c>
      <c r="E60">
        <f>ROUNDDOWN((D60-(Sales!E60/8)), 0)</f>
        <v>35</v>
      </c>
      <c r="F60">
        <f>ROUNDDOWN((E60-(Sales!F60/8)), 0)</f>
        <v>32</v>
      </c>
      <c r="G60">
        <f>ROUNDDOWN((F60-(Sales!G60/8)), 0)</f>
        <v>29</v>
      </c>
      <c r="H60">
        <f>ROUNDDOWN((G60-(Sales!H60/8)), 0)</f>
        <v>26</v>
      </c>
      <c r="I60">
        <f>ROUNDDOWN((H60-(Sales!I60/8)), 0)</f>
        <v>24</v>
      </c>
      <c r="J60">
        <f>ROUNDDOWN((I60-(Sales!J60/8)), 0)</f>
        <v>23</v>
      </c>
      <c r="K60">
        <f>ROUNDDOWN((J60-(Sales!K60/8)), 0)</f>
        <v>21</v>
      </c>
      <c r="L60">
        <f>ROUNDDOWN((K60-(Sales!L60/8)), 0)</f>
        <v>20</v>
      </c>
      <c r="M60">
        <f>ROUNDDOWN((L60-(Sales!M60/8)), 0)</f>
        <v>18</v>
      </c>
      <c r="N60">
        <f>ROUNDDOWN((M60-(Sales!N60/8)), 0)</f>
        <v>15</v>
      </c>
      <c r="O60">
        <f>ROUNDDOWN((N60-(Sales!O60/8)), 0)</f>
        <v>13</v>
      </c>
      <c r="P60">
        <f>ROUNDDOWN((O60-(Sales!P60/8)), 0)</f>
        <v>12</v>
      </c>
      <c r="Q60">
        <f>ROUNDDOWN((P60-(Sales!Q60/8)), 0)</f>
        <v>10</v>
      </c>
      <c r="R60">
        <f>ROUNDDOWN((Q60-(Sales!R60/8)), 0)</f>
        <v>9</v>
      </c>
      <c r="S60">
        <f>ROUNDDOWN((R60-(Sales!S60/8)), 0)</f>
        <v>8</v>
      </c>
      <c r="T60">
        <f>ROUNDDOWN((S60-(Sales!T60/8)), 0)+30</f>
        <v>37</v>
      </c>
    </row>
    <row r="61" spans="2:33" x14ac:dyDescent="0.25">
      <c r="B61" t="str">
        <f>'Suppliers and Pricing'!$B$12</f>
        <v>Rocky Road</v>
      </c>
      <c r="C61">
        <v>38</v>
      </c>
      <c r="D61">
        <f>ROUNDDOWN((C61-(Sales!D61/8)), 0)</f>
        <v>37</v>
      </c>
      <c r="E61">
        <f>ROUNDDOWN((D61-(Sales!E61/8)), 0)</f>
        <v>36</v>
      </c>
      <c r="F61">
        <f>ROUNDDOWN((E61-(Sales!F61/8)), 0)</f>
        <v>35</v>
      </c>
      <c r="G61">
        <f>ROUNDDOWN((F61-(Sales!G61/8)), 0)</f>
        <v>31</v>
      </c>
      <c r="H61">
        <f>ROUNDDOWN((G61-(Sales!H61/8)), 0)</f>
        <v>30</v>
      </c>
      <c r="I61">
        <f>ROUNDDOWN((H61-(Sales!I61/8)), 0)</f>
        <v>29</v>
      </c>
      <c r="J61">
        <f>ROUNDDOWN((I61-(Sales!J61/8)), 0)</f>
        <v>28</v>
      </c>
      <c r="K61">
        <f>ROUNDDOWN((J61-(Sales!K61/8)), 0)</f>
        <v>27</v>
      </c>
      <c r="L61">
        <f>ROUNDDOWN((K61-(Sales!L61/8)), 0)</f>
        <v>25</v>
      </c>
      <c r="M61">
        <f>ROUNDDOWN((L61-(Sales!M61/8)), 0)</f>
        <v>25</v>
      </c>
      <c r="N61">
        <f>ROUNDDOWN((M61-(Sales!N61/8)), 0)</f>
        <v>22</v>
      </c>
      <c r="O61">
        <f>ROUNDDOWN((N61-(Sales!O61/8)), 0)</f>
        <v>21</v>
      </c>
      <c r="P61">
        <f>ROUNDDOWN((O61-(Sales!P61/8)), 0)</f>
        <v>19</v>
      </c>
      <c r="Q61">
        <f>ROUNDDOWN((P61-(Sales!Q61/8)), 0)</f>
        <v>18</v>
      </c>
      <c r="R61">
        <f>ROUNDDOWN((Q61-(Sales!R61/8)), 0)</f>
        <v>16</v>
      </c>
      <c r="S61">
        <f>ROUNDDOWN((R61-(Sales!S61/8)), 0)</f>
        <v>15</v>
      </c>
      <c r="T61">
        <f>ROUNDDOWN((S61-(Sales!T61/8)), 0)</f>
        <v>12</v>
      </c>
    </row>
    <row r="62" spans="2:33" x14ac:dyDescent="0.25">
      <c r="B62" t="str">
        <f>'Suppliers and Pricing'!$B$13</f>
        <v>Fudge Brownie</v>
      </c>
      <c r="C62">
        <v>38</v>
      </c>
      <c r="D62">
        <f>ROUNDDOWN((C62-(Sales!D62/8)), 0)</f>
        <v>36</v>
      </c>
      <c r="E62">
        <f>ROUNDDOWN((D62-(Sales!E62/8)), 0)</f>
        <v>34</v>
      </c>
      <c r="F62">
        <f>ROUNDDOWN((E62-(Sales!F62/8)), 0)</f>
        <v>31</v>
      </c>
      <c r="G62">
        <f>ROUNDDOWN((F62-(Sales!G62/8)), 0)</f>
        <v>31</v>
      </c>
      <c r="H62">
        <f>ROUNDDOWN((G62-(Sales!H62/8)), 0)</f>
        <v>29</v>
      </c>
      <c r="I62">
        <f>ROUNDDOWN((H62-(Sales!I62/8)), 0)</f>
        <v>28</v>
      </c>
      <c r="J62">
        <f>ROUNDDOWN((I62-(Sales!J62/8)), 0)</f>
        <v>27</v>
      </c>
      <c r="K62">
        <f>ROUNDDOWN((J62-(Sales!K62/8)), 0)</f>
        <v>26</v>
      </c>
      <c r="L62">
        <f>ROUNDDOWN((K62-(Sales!L62/8)), 0)</f>
        <v>25</v>
      </c>
      <c r="M62">
        <f>ROUNDDOWN((L62-(Sales!M62/8)), 0)</f>
        <v>22</v>
      </c>
      <c r="N62">
        <f>ROUNDDOWN((M62-(Sales!N62/8)), 0)</f>
        <v>19</v>
      </c>
      <c r="O62">
        <f>ROUNDDOWN((N62-(Sales!O62/8)), 0)</f>
        <v>17</v>
      </c>
      <c r="P62">
        <f>ROUNDDOWN((O62-(Sales!P62/8)), 0)</f>
        <v>15</v>
      </c>
      <c r="Q62">
        <f>ROUNDDOWN((P62-(Sales!Q62/8)), 0)</f>
        <v>14</v>
      </c>
      <c r="R62">
        <f>ROUNDDOWN((Q62-(Sales!R62/8)), 0)</f>
        <v>13</v>
      </c>
      <c r="S62">
        <f>ROUNDDOWN((R62-(Sales!S62/8)), 0)</f>
        <v>12</v>
      </c>
      <c r="T62">
        <f>ROUNDDOWN((S62-(Sales!T62/8)), 0)</f>
        <v>12</v>
      </c>
    </row>
    <row r="63" spans="2:33" x14ac:dyDescent="0.25">
      <c r="B63" t="str">
        <f>'Suppliers and Pricing'!$B$14</f>
        <v>Reese's Peanut Butter Cup</v>
      </c>
      <c r="C63">
        <v>50</v>
      </c>
      <c r="D63">
        <f>ROUNDDOWN((C63-(Sales!D63/8)), 0)</f>
        <v>48</v>
      </c>
      <c r="E63">
        <f>ROUNDDOWN((D63-(Sales!E63/8)), 0)</f>
        <v>47</v>
      </c>
      <c r="F63">
        <f>ROUNDDOWN((E63-(Sales!F63/8)), 0)</f>
        <v>44</v>
      </c>
      <c r="G63">
        <f>ROUNDDOWN((F63-(Sales!G63/8)), 0)</f>
        <v>42</v>
      </c>
      <c r="H63">
        <f>ROUNDDOWN((G63-(Sales!H63/8)), 0)</f>
        <v>41</v>
      </c>
      <c r="I63">
        <f>ROUNDDOWN((H63-(Sales!I63/8)), 0)</f>
        <v>40</v>
      </c>
      <c r="J63">
        <f>ROUNDDOWN((I63-(Sales!J63/8)), 0)</f>
        <v>39</v>
      </c>
      <c r="K63">
        <f>ROUNDDOWN((J63-(Sales!K63/8)), 0)</f>
        <v>38</v>
      </c>
      <c r="L63">
        <f>ROUNDDOWN((K63-(Sales!L63/8)), 0)</f>
        <v>37</v>
      </c>
      <c r="M63">
        <f>ROUNDDOWN((L63-(Sales!M63/8)), 0)</f>
        <v>35</v>
      </c>
      <c r="N63">
        <f>ROUNDDOWN((M63-(Sales!N63/8)), 0)</f>
        <v>33</v>
      </c>
      <c r="O63">
        <f>ROUNDDOWN((N63-(Sales!O63/8)), 0)</f>
        <v>31</v>
      </c>
      <c r="P63">
        <f>ROUNDDOWN((O63-(Sales!P63/8)), 0)</f>
        <v>30</v>
      </c>
      <c r="Q63">
        <f>ROUNDDOWN((P63-(Sales!Q63/8)), 0)</f>
        <v>28</v>
      </c>
      <c r="R63">
        <f>ROUNDDOWN((Q63-(Sales!R63/8)), 0)</f>
        <v>26</v>
      </c>
      <c r="S63">
        <f>ROUNDDOWN((R63-(Sales!S63/8)), 0)</f>
        <v>25</v>
      </c>
      <c r="T63">
        <f>ROUNDDOWN((S63-(Sales!T63/8)), 0)</f>
        <v>23</v>
      </c>
    </row>
    <row r="68" spans="1:7" ht="18.75" x14ac:dyDescent="0.3">
      <c r="A68" s="22" t="s">
        <v>29</v>
      </c>
      <c r="B68" s="22"/>
      <c r="C68" s="22"/>
      <c r="D68" t="str">
        <f>"-&gt; Units of ice cream"</f>
        <v>-&gt; Units of ice cream</v>
      </c>
    </row>
    <row r="69" spans="1:7" x14ac:dyDescent="0.25">
      <c r="B69" t="str">
        <f>'Suppliers and Pricing'!$B$5</f>
        <v>Vanilla</v>
      </c>
      <c r="C69">
        <v>4</v>
      </c>
      <c r="D69">
        <f t="shared" ref="D69:D78" si="0">C69*8</f>
        <v>32</v>
      </c>
    </row>
    <row r="70" spans="1:7" x14ac:dyDescent="0.25">
      <c r="B70" t="str">
        <f>'Suppliers and Pricing'!$B$6</f>
        <v>Chocolate</v>
      </c>
      <c r="C70">
        <v>4</v>
      </c>
      <c r="D70">
        <f t="shared" si="0"/>
        <v>32</v>
      </c>
    </row>
    <row r="71" spans="1:7" x14ac:dyDescent="0.25">
      <c r="B71" t="str">
        <f>'Suppliers and Pricing'!$B$7</f>
        <v>Strawberry</v>
      </c>
      <c r="C71">
        <v>4</v>
      </c>
      <c r="D71">
        <f t="shared" si="0"/>
        <v>32</v>
      </c>
    </row>
    <row r="72" spans="1:7" ht="18" customHeight="1" x14ac:dyDescent="0.3">
      <c r="B72" t="str">
        <f>'Suppliers and Pricing'!$B$8</f>
        <v>Cookies and Cream</v>
      </c>
      <c r="C72">
        <v>4</v>
      </c>
      <c r="D72">
        <f t="shared" si="0"/>
        <v>32</v>
      </c>
      <c r="E72" s="5"/>
      <c r="F72" s="5"/>
      <c r="G72" s="5"/>
    </row>
    <row r="73" spans="1:7" x14ac:dyDescent="0.25">
      <c r="B73" t="str">
        <f>'Suppliers and Pricing'!$B$9</f>
        <v>Mint Chocolate Chip</v>
      </c>
      <c r="C73">
        <v>4</v>
      </c>
      <c r="D73">
        <f t="shared" si="0"/>
        <v>32</v>
      </c>
    </row>
    <row r="74" spans="1:7" x14ac:dyDescent="0.25">
      <c r="B74" t="str">
        <f>'Suppliers and Pricing'!$B$10</f>
        <v>Mint</v>
      </c>
      <c r="C74">
        <v>4</v>
      </c>
      <c r="D74">
        <f t="shared" si="0"/>
        <v>32</v>
      </c>
    </row>
    <row r="75" spans="1:7" x14ac:dyDescent="0.25">
      <c r="B75" t="str">
        <f>'Suppliers and Pricing'!$B$11</f>
        <v>Double Chocolate</v>
      </c>
      <c r="C75">
        <v>4</v>
      </c>
      <c r="D75">
        <f t="shared" si="0"/>
        <v>32</v>
      </c>
    </row>
    <row r="76" spans="1:7" x14ac:dyDescent="0.25">
      <c r="B76" t="str">
        <f>'Suppliers and Pricing'!$B$12</f>
        <v>Rocky Road</v>
      </c>
      <c r="C76">
        <v>4</v>
      </c>
      <c r="D76">
        <f t="shared" si="0"/>
        <v>32</v>
      </c>
    </row>
    <row r="77" spans="1:7" x14ac:dyDescent="0.25">
      <c r="B77" t="str">
        <f>'Suppliers and Pricing'!$B$13</f>
        <v>Fudge Brownie</v>
      </c>
      <c r="C77">
        <v>4</v>
      </c>
      <c r="D77">
        <f t="shared" si="0"/>
        <v>32</v>
      </c>
    </row>
    <row r="78" spans="1:7" x14ac:dyDescent="0.25">
      <c r="B78" t="str">
        <f>'Suppliers and Pricing'!$B$14</f>
        <v>Reese's Peanut Butter Cup</v>
      </c>
      <c r="C78">
        <v>4</v>
      </c>
      <c r="D78">
        <f t="shared" si="0"/>
        <v>32</v>
      </c>
    </row>
    <row r="79" spans="1:7" ht="14.1" customHeight="1" x14ac:dyDescent="0.25"/>
    <row r="81" spans="1:4" ht="21" customHeight="1" x14ac:dyDescent="0.3">
      <c r="A81" s="23" t="s">
        <v>32</v>
      </c>
      <c r="B81" s="23"/>
      <c r="C81" s="23"/>
      <c r="D81" t="str">
        <f>"-&gt; Units of ice cream"</f>
        <v>-&gt; Units of ice cream</v>
      </c>
    </row>
    <row r="82" spans="1:4" x14ac:dyDescent="0.25">
      <c r="B82" t="str">
        <f>'Suppliers and Pricing'!$B$5</f>
        <v>Vanilla</v>
      </c>
      <c r="C82">
        <v>8</v>
      </c>
      <c r="D82">
        <f>C82*8</f>
        <v>64</v>
      </c>
    </row>
    <row r="83" spans="1:4" x14ac:dyDescent="0.25">
      <c r="B83" t="str">
        <f>'Suppliers and Pricing'!$B$6</f>
        <v>Chocolate</v>
      </c>
      <c r="C83">
        <v>8</v>
      </c>
      <c r="D83">
        <f t="shared" ref="D83:D91" si="1">C83*8</f>
        <v>64</v>
      </c>
    </row>
    <row r="84" spans="1:4" x14ac:dyDescent="0.25">
      <c r="B84" t="str">
        <f>'Suppliers and Pricing'!$B$7</f>
        <v>Strawberry</v>
      </c>
      <c r="C84">
        <v>8</v>
      </c>
      <c r="D84">
        <f t="shared" si="1"/>
        <v>64</v>
      </c>
    </row>
    <row r="85" spans="1:4" x14ac:dyDescent="0.25">
      <c r="B85" t="str">
        <f>'Suppliers and Pricing'!$B$8</f>
        <v>Cookies and Cream</v>
      </c>
      <c r="C85">
        <v>8</v>
      </c>
      <c r="D85">
        <f t="shared" si="1"/>
        <v>64</v>
      </c>
    </row>
    <row r="86" spans="1:4" x14ac:dyDescent="0.25">
      <c r="B86" t="str">
        <f>'Suppliers and Pricing'!$B$9</f>
        <v>Mint Chocolate Chip</v>
      </c>
      <c r="C86">
        <v>8</v>
      </c>
      <c r="D86">
        <f t="shared" si="1"/>
        <v>64</v>
      </c>
    </row>
    <row r="87" spans="1:4" x14ac:dyDescent="0.25">
      <c r="B87" t="str">
        <f>'Suppliers and Pricing'!$B$10</f>
        <v>Mint</v>
      </c>
      <c r="C87">
        <v>8</v>
      </c>
      <c r="D87">
        <f t="shared" si="1"/>
        <v>64</v>
      </c>
    </row>
    <row r="88" spans="1:4" x14ac:dyDescent="0.25">
      <c r="B88" t="str">
        <f>'Suppliers and Pricing'!$B$11</f>
        <v>Double Chocolate</v>
      </c>
      <c r="C88">
        <v>8</v>
      </c>
      <c r="D88">
        <f t="shared" si="1"/>
        <v>64</v>
      </c>
    </row>
    <row r="89" spans="1:4" x14ac:dyDescent="0.25">
      <c r="B89" t="str">
        <f>'Suppliers and Pricing'!$B$12</f>
        <v>Rocky Road</v>
      </c>
      <c r="C89">
        <v>8</v>
      </c>
      <c r="D89">
        <f t="shared" si="1"/>
        <v>64</v>
      </c>
    </row>
    <row r="90" spans="1:4" x14ac:dyDescent="0.25">
      <c r="B90" t="str">
        <f>'Suppliers and Pricing'!$B$13</f>
        <v>Fudge Brownie</v>
      </c>
      <c r="C90">
        <v>8</v>
      </c>
      <c r="D90">
        <f t="shared" si="1"/>
        <v>64</v>
      </c>
    </row>
    <row r="91" spans="1:4" x14ac:dyDescent="0.25">
      <c r="B91" t="str">
        <f>'Suppliers and Pricing'!$B$14</f>
        <v>Reese's Peanut Butter Cup</v>
      </c>
      <c r="C91">
        <f t="shared" ref="C91" si="2">C78*2</f>
        <v>8</v>
      </c>
      <c r="D91">
        <f t="shared" si="1"/>
        <v>64</v>
      </c>
    </row>
  </sheetData>
  <mergeCells count="5">
    <mergeCell ref="A68:C68"/>
    <mergeCell ref="A81:C81"/>
    <mergeCell ref="B1:B3"/>
    <mergeCell ref="A1:A3"/>
    <mergeCell ref="A5:B5"/>
  </mergeCells>
  <conditionalFormatting sqref="C9:AG9">
    <cfRule type="expression" dxfId="99" priority="165">
      <formula>C9:AG9&lt;=$C$82</formula>
    </cfRule>
  </conditionalFormatting>
  <conditionalFormatting sqref="C10:AG10">
    <cfRule type="expression" dxfId="98" priority="164">
      <formula>C10:AG10&lt;=$C$83</formula>
    </cfRule>
  </conditionalFormatting>
  <conditionalFormatting sqref="C11:AG11">
    <cfRule type="expression" dxfId="97" priority="163">
      <formula>C11:AG11&lt;=$C$84</formula>
    </cfRule>
  </conditionalFormatting>
  <conditionalFormatting sqref="C12:AG12">
    <cfRule type="expression" dxfId="96" priority="162">
      <formula>C12:AG12&lt;=$C$85</formula>
    </cfRule>
  </conditionalFormatting>
  <conditionalFormatting sqref="C13:AG13">
    <cfRule type="expression" dxfId="95" priority="161">
      <formula>C13:AG13&lt;=$C$86</formula>
    </cfRule>
  </conditionalFormatting>
  <conditionalFormatting sqref="C14:AG14">
    <cfRule type="expression" dxfId="94" priority="160">
      <formula>C14:AG14&lt;=$C$87</formula>
    </cfRule>
  </conditionalFormatting>
  <conditionalFormatting sqref="C15:AG15">
    <cfRule type="expression" dxfId="93" priority="159">
      <formula>C15:AG15&lt;=$C$88</formula>
    </cfRule>
  </conditionalFormatting>
  <conditionalFormatting sqref="C16:AG16">
    <cfRule type="expression" dxfId="92" priority="158">
      <formula>C16:AG16&lt;=$C$89</formula>
    </cfRule>
  </conditionalFormatting>
  <conditionalFormatting sqref="C17:AG17">
    <cfRule type="expression" dxfId="91" priority="157">
      <formula>C17:AG17&lt;=$C$90</formula>
    </cfRule>
  </conditionalFormatting>
  <conditionalFormatting sqref="C18:AG18">
    <cfRule type="expression" dxfId="90" priority="156">
      <formula>C18:AG18&lt;=$C$91</formula>
    </cfRule>
  </conditionalFormatting>
  <conditionalFormatting sqref="D9:Q9">
    <cfRule type="expression" dxfId="89" priority="116">
      <formula>D9&gt;C9</formula>
    </cfRule>
  </conditionalFormatting>
  <conditionalFormatting sqref="R9:X9">
    <cfRule type="expression" dxfId="88" priority="115">
      <formula>R9&gt;Q9</formula>
    </cfRule>
  </conditionalFormatting>
  <conditionalFormatting sqref="Y9:AG9">
    <cfRule type="expression" dxfId="87" priority="114">
      <formula>Y9&gt;X9</formula>
    </cfRule>
  </conditionalFormatting>
  <conditionalFormatting sqref="D10:N10">
    <cfRule type="expression" dxfId="86" priority="112">
      <formula>D10&gt;C10</formula>
    </cfRule>
  </conditionalFormatting>
  <conditionalFormatting sqref="O10:AG10">
    <cfRule type="expression" dxfId="85" priority="111">
      <formula>O10&gt;N10</formula>
    </cfRule>
  </conditionalFormatting>
  <conditionalFormatting sqref="D11:AG11">
    <cfRule type="expression" dxfId="84" priority="85">
      <formula>D11&gt;C11</formula>
    </cfRule>
  </conditionalFormatting>
  <conditionalFormatting sqref="D12:AG12">
    <cfRule type="expression" dxfId="83" priority="84">
      <formula>D12&gt;C12</formula>
    </cfRule>
  </conditionalFormatting>
  <conditionalFormatting sqref="D13:AG13">
    <cfRule type="expression" dxfId="82" priority="83">
      <formula>D13&gt;C13</formula>
    </cfRule>
  </conditionalFormatting>
  <conditionalFormatting sqref="AG13">
    <cfRule type="expression" dxfId="81" priority="82">
      <formula>AG13&gt;AF13</formula>
    </cfRule>
  </conditionalFormatting>
  <conditionalFormatting sqref="D14:AG14">
    <cfRule type="expression" dxfId="80" priority="81">
      <formula>D14&gt;C14</formula>
    </cfRule>
  </conditionalFormatting>
  <conditionalFormatting sqref="D15:AG15">
    <cfRule type="expression" dxfId="79" priority="80">
      <formula>D15&gt;C15</formula>
    </cfRule>
  </conditionalFormatting>
  <conditionalFormatting sqref="D16:T16">
    <cfRule type="expression" dxfId="78" priority="79">
      <formula>D16&gt;C16</formula>
    </cfRule>
  </conditionalFormatting>
  <conditionalFormatting sqref="U16:AG16">
    <cfRule type="expression" dxfId="77" priority="78">
      <formula>U16&gt;T16</formula>
    </cfRule>
  </conditionalFormatting>
  <conditionalFormatting sqref="D17:AG17">
    <cfRule type="expression" dxfId="76" priority="77">
      <formula>D17&gt;C17</formula>
    </cfRule>
  </conditionalFormatting>
  <conditionalFormatting sqref="D18:AG18">
    <cfRule type="expression" dxfId="75" priority="76">
      <formula>D18&gt;C18</formula>
    </cfRule>
  </conditionalFormatting>
  <conditionalFormatting sqref="C24:AG24">
    <cfRule type="expression" dxfId="74" priority="75">
      <formula>C24:AG24&lt;=$C$82</formula>
    </cfRule>
  </conditionalFormatting>
  <conditionalFormatting sqref="C25:AG25">
    <cfRule type="expression" dxfId="73" priority="74">
      <formula>C25:AG25&lt;=$C$83</formula>
    </cfRule>
  </conditionalFormatting>
  <conditionalFormatting sqref="C26:AG26">
    <cfRule type="expression" dxfId="72" priority="73">
      <formula>C26:AG26&lt;=$C$84</formula>
    </cfRule>
  </conditionalFormatting>
  <conditionalFormatting sqref="C27:AG27">
    <cfRule type="expression" dxfId="71" priority="72">
      <formula>C27:AG27&lt;=$C$85</formula>
    </cfRule>
  </conditionalFormatting>
  <conditionalFormatting sqref="C28:AG28">
    <cfRule type="expression" dxfId="70" priority="71">
      <formula>C28:AG28&lt;=$C$86</formula>
    </cfRule>
  </conditionalFormatting>
  <conditionalFormatting sqref="C29:AG29">
    <cfRule type="expression" dxfId="69" priority="70">
      <formula>C29:AG29&lt;=$C$87</formula>
    </cfRule>
  </conditionalFormatting>
  <conditionalFormatting sqref="C30:AG30">
    <cfRule type="expression" dxfId="68" priority="69">
      <formula>C30:AG30&lt;=$C$88</formula>
    </cfRule>
  </conditionalFormatting>
  <conditionalFormatting sqref="C31:AG31">
    <cfRule type="expression" dxfId="67" priority="68">
      <formula>C31:AG31&lt;=$C$89</formula>
    </cfRule>
  </conditionalFormatting>
  <conditionalFormatting sqref="C32:AG32">
    <cfRule type="expression" dxfId="66" priority="67">
      <formula>C32:AG32&lt;=$C$90</formula>
    </cfRule>
  </conditionalFormatting>
  <conditionalFormatting sqref="C33:AG33">
    <cfRule type="expression" dxfId="65" priority="66">
      <formula>C33:AG33&lt;=$C$91</formula>
    </cfRule>
  </conditionalFormatting>
  <conditionalFormatting sqref="D24:Q24">
    <cfRule type="expression" dxfId="64" priority="65">
      <formula>D24&gt;C24</formula>
    </cfRule>
  </conditionalFormatting>
  <conditionalFormatting sqref="R24:X24">
    <cfRule type="expression" dxfId="63" priority="64">
      <formula>R24&gt;Q24</formula>
    </cfRule>
  </conditionalFormatting>
  <conditionalFormatting sqref="Y24:AG24">
    <cfRule type="expression" dxfId="62" priority="63">
      <formula>Y24&gt;X24</formula>
    </cfRule>
  </conditionalFormatting>
  <conditionalFormatting sqref="D25:N25">
    <cfRule type="expression" dxfId="61" priority="62">
      <formula>D25&gt;C25</formula>
    </cfRule>
  </conditionalFormatting>
  <conditionalFormatting sqref="O25:AG25">
    <cfRule type="expression" dxfId="60" priority="61">
      <formula>O25&gt;N25</formula>
    </cfRule>
  </conditionalFormatting>
  <conditionalFormatting sqref="D26:AG26">
    <cfRule type="expression" dxfId="59" priority="60">
      <formula>D26&gt;C26</formula>
    </cfRule>
  </conditionalFormatting>
  <conditionalFormatting sqref="D27:AG27">
    <cfRule type="expression" dxfId="58" priority="59">
      <formula>D27&gt;C27</formula>
    </cfRule>
  </conditionalFormatting>
  <conditionalFormatting sqref="D28:AG28">
    <cfRule type="expression" dxfId="57" priority="58">
      <formula>D28&gt;C28</formula>
    </cfRule>
  </conditionalFormatting>
  <conditionalFormatting sqref="AG28">
    <cfRule type="expression" dxfId="56" priority="57">
      <formula>AG28&gt;AF28</formula>
    </cfRule>
  </conditionalFormatting>
  <conditionalFormatting sqref="D29:AG29">
    <cfRule type="expression" dxfId="55" priority="56">
      <formula>D29&gt;C29</formula>
    </cfRule>
  </conditionalFormatting>
  <conditionalFormatting sqref="D30:AG30">
    <cfRule type="expression" dxfId="54" priority="55">
      <formula>D30&gt;C30</formula>
    </cfRule>
  </conditionalFormatting>
  <conditionalFormatting sqref="D31:T31">
    <cfRule type="expression" dxfId="53" priority="54">
      <formula>D31&gt;C31</formula>
    </cfRule>
  </conditionalFormatting>
  <conditionalFormatting sqref="U31:AG31">
    <cfRule type="expression" dxfId="52" priority="53">
      <formula>U31&gt;T31</formula>
    </cfRule>
  </conditionalFormatting>
  <conditionalFormatting sqref="D32:AG32">
    <cfRule type="expression" dxfId="51" priority="52">
      <formula>D32&gt;C32</formula>
    </cfRule>
  </conditionalFormatting>
  <conditionalFormatting sqref="D33:AG33">
    <cfRule type="expression" dxfId="50" priority="51">
      <formula>D33&gt;C33</formula>
    </cfRule>
  </conditionalFormatting>
  <conditionalFormatting sqref="C39:AG39">
    <cfRule type="expression" dxfId="49" priority="50">
      <formula>C39:AG39&lt;=$C$82</formula>
    </cfRule>
  </conditionalFormatting>
  <conditionalFormatting sqref="C40:AG40">
    <cfRule type="expression" dxfId="48" priority="49">
      <formula>C40:AG40&lt;=$C$83</formula>
    </cfRule>
  </conditionalFormatting>
  <conditionalFormatting sqref="C41:AG41">
    <cfRule type="expression" dxfId="47" priority="48">
      <formula>C41:AG41&lt;=$C$84</formula>
    </cfRule>
  </conditionalFormatting>
  <conditionalFormatting sqref="C42:AG42">
    <cfRule type="expression" dxfId="46" priority="47">
      <formula>C42:AG42&lt;=$C$85</formula>
    </cfRule>
  </conditionalFormatting>
  <conditionalFormatting sqref="C43:AG43">
    <cfRule type="expression" dxfId="45" priority="46">
      <formula>C43:AG43&lt;=$C$86</formula>
    </cfRule>
  </conditionalFormatting>
  <conditionalFormatting sqref="C44:AG44">
    <cfRule type="expression" dxfId="44" priority="45">
      <formula>C44:AG44&lt;=$C$87</formula>
    </cfRule>
  </conditionalFormatting>
  <conditionalFormatting sqref="C45:AG45">
    <cfRule type="expression" dxfId="43" priority="44">
      <formula>C45:AG45&lt;=$C$88</formula>
    </cfRule>
  </conditionalFormatting>
  <conditionalFormatting sqref="C46:AG46">
    <cfRule type="expression" dxfId="42" priority="43">
      <formula>C46:AG46&lt;=$C$89</formula>
    </cfRule>
  </conditionalFormatting>
  <conditionalFormatting sqref="C47:AG47">
    <cfRule type="expression" dxfId="41" priority="42">
      <formula>C47:AG47&lt;=$C$90</formula>
    </cfRule>
  </conditionalFormatting>
  <conditionalFormatting sqref="C48:AG48">
    <cfRule type="expression" dxfId="40" priority="41">
      <formula>C48:AG48&lt;=$C$91</formula>
    </cfRule>
  </conditionalFormatting>
  <conditionalFormatting sqref="D39:Q39">
    <cfRule type="expression" dxfId="39" priority="40">
      <formula>D39&gt;C39</formula>
    </cfRule>
  </conditionalFormatting>
  <conditionalFormatting sqref="R39:X39">
    <cfRule type="expression" dxfId="38" priority="39">
      <formula>R39&gt;Q39</formula>
    </cfRule>
  </conditionalFormatting>
  <conditionalFormatting sqref="Y39:AG39">
    <cfRule type="expression" dxfId="37" priority="38">
      <formula>Y39&gt;X39</formula>
    </cfRule>
  </conditionalFormatting>
  <conditionalFormatting sqref="D40:N40">
    <cfRule type="expression" dxfId="36" priority="37">
      <formula>D40&gt;C40</formula>
    </cfRule>
  </conditionalFormatting>
  <conditionalFormatting sqref="O40:AG40">
    <cfRule type="expression" dxfId="35" priority="36">
      <formula>O40&gt;N40</formula>
    </cfRule>
  </conditionalFormatting>
  <conditionalFormatting sqref="D41:AG41">
    <cfRule type="expression" dxfId="34" priority="35">
      <formula>D41&gt;C41</formula>
    </cfRule>
  </conditionalFormatting>
  <conditionalFormatting sqref="D42:AG42">
    <cfRule type="expression" dxfId="33" priority="34">
      <formula>D42&gt;C42</formula>
    </cfRule>
  </conditionalFormatting>
  <conditionalFormatting sqref="D43:AG43">
    <cfRule type="expression" dxfId="32" priority="33">
      <formula>D43&gt;C43</formula>
    </cfRule>
  </conditionalFormatting>
  <conditionalFormatting sqref="AG43">
    <cfRule type="expression" dxfId="31" priority="32">
      <formula>AG43&gt;AF43</formula>
    </cfRule>
  </conditionalFormatting>
  <conditionalFormatting sqref="D44:AG44">
    <cfRule type="expression" dxfId="30" priority="31">
      <formula>D44&gt;C44</formula>
    </cfRule>
  </conditionalFormatting>
  <conditionalFormatting sqref="D45:AG45">
    <cfRule type="expression" dxfId="29" priority="30">
      <formula>D45&gt;C45</formula>
    </cfRule>
  </conditionalFormatting>
  <conditionalFormatting sqref="D46:T46">
    <cfRule type="expression" dxfId="28" priority="29">
      <formula>D46&gt;C46</formula>
    </cfRule>
  </conditionalFormatting>
  <conditionalFormatting sqref="U46:AG46">
    <cfRule type="expression" dxfId="27" priority="28">
      <formula>U46&gt;T46</formula>
    </cfRule>
  </conditionalFormatting>
  <conditionalFormatting sqref="D47:AG47">
    <cfRule type="expression" dxfId="26" priority="27">
      <formula>D47&gt;C47</formula>
    </cfRule>
  </conditionalFormatting>
  <conditionalFormatting sqref="D48:AG48">
    <cfRule type="expression" dxfId="25" priority="26">
      <formula>D48&gt;C48</formula>
    </cfRule>
  </conditionalFormatting>
  <conditionalFormatting sqref="C54:AG54">
    <cfRule type="expression" dxfId="24" priority="25">
      <formula>C54:AG54&lt;=$C$82</formula>
    </cfRule>
  </conditionalFormatting>
  <conditionalFormatting sqref="C55:AG55">
    <cfRule type="expression" dxfId="23" priority="24">
      <formula>C55:AG55&lt;=$C$83</formula>
    </cfRule>
  </conditionalFormatting>
  <conditionalFormatting sqref="C56:AG56">
    <cfRule type="expression" dxfId="22" priority="23">
      <formula>C56:AG56&lt;=$C$84</formula>
    </cfRule>
  </conditionalFormatting>
  <conditionalFormatting sqref="C57:AG57">
    <cfRule type="expression" dxfId="21" priority="22">
      <formula>C57:AG57&lt;=$C$85</formula>
    </cfRule>
  </conditionalFormatting>
  <conditionalFormatting sqref="C58:AG58">
    <cfRule type="expression" dxfId="20" priority="21">
      <formula>C58:AG58&lt;=$C$86</formula>
    </cfRule>
  </conditionalFormatting>
  <conditionalFormatting sqref="C59:AG59">
    <cfRule type="expression" dxfId="19" priority="20">
      <formula>C59:AG59&lt;=$C$87</formula>
    </cfRule>
  </conditionalFormatting>
  <conditionalFormatting sqref="C60:AG60">
    <cfRule type="expression" dxfId="18" priority="19">
      <formula>C60:AG60&lt;=$C$88</formula>
    </cfRule>
  </conditionalFormatting>
  <conditionalFormatting sqref="C61:AG61">
    <cfRule type="expression" dxfId="17" priority="18">
      <formula>C61:AG61&lt;=$C$89</formula>
    </cfRule>
  </conditionalFormatting>
  <conditionalFormatting sqref="C62:AG62">
    <cfRule type="expression" dxfId="16" priority="17">
      <formula>C62:AG62&lt;=$C$90</formula>
    </cfRule>
  </conditionalFormatting>
  <conditionalFormatting sqref="C63:AG63">
    <cfRule type="expression" dxfId="15" priority="16">
      <formula>C63:AG63&lt;=$C$91</formula>
    </cfRule>
  </conditionalFormatting>
  <conditionalFormatting sqref="D54:Q54">
    <cfRule type="expression" dxfId="14" priority="15">
      <formula>D54&gt;C54</formula>
    </cfRule>
  </conditionalFormatting>
  <conditionalFormatting sqref="R54:X54">
    <cfRule type="expression" dxfId="13" priority="14">
      <formula>R54&gt;Q54</formula>
    </cfRule>
  </conditionalFormatting>
  <conditionalFormatting sqref="Y54:AG54">
    <cfRule type="expression" dxfId="12" priority="13">
      <formula>Y54&gt;X54</formula>
    </cfRule>
  </conditionalFormatting>
  <conditionalFormatting sqref="D55:N55">
    <cfRule type="expression" dxfId="11" priority="12">
      <formula>D55&gt;C55</formula>
    </cfRule>
  </conditionalFormatting>
  <conditionalFormatting sqref="O55:AG55">
    <cfRule type="expression" dxfId="10" priority="11">
      <formula>O55&gt;N55</formula>
    </cfRule>
  </conditionalFormatting>
  <conditionalFormatting sqref="D56:AG56">
    <cfRule type="expression" dxfId="9" priority="10">
      <formula>D56&gt;C56</formula>
    </cfRule>
  </conditionalFormatting>
  <conditionalFormatting sqref="D57:AG57">
    <cfRule type="expression" dxfId="8" priority="9">
      <formula>D57&gt;C57</formula>
    </cfRule>
  </conditionalFormatting>
  <conditionalFormatting sqref="D58:AG58">
    <cfRule type="expression" dxfId="7" priority="8">
      <formula>D58&gt;C58</formula>
    </cfRule>
  </conditionalFormatting>
  <conditionalFormatting sqref="AG58">
    <cfRule type="expression" dxfId="6" priority="7">
      <formula>AG58&gt;AF58</formula>
    </cfRule>
  </conditionalFormatting>
  <conditionalFormatting sqref="D59:AG59">
    <cfRule type="expression" dxfId="5" priority="6">
      <formula>D59&gt;C59</formula>
    </cfRule>
  </conditionalFormatting>
  <conditionalFormatting sqref="D60:AG60">
    <cfRule type="expression" dxfId="4" priority="5">
      <formula>D60&gt;C60</formula>
    </cfRule>
  </conditionalFormatting>
  <conditionalFormatting sqref="D61:T61">
    <cfRule type="expression" dxfId="3" priority="4">
      <formula>D61&gt;C61</formula>
    </cfRule>
  </conditionalFormatting>
  <conditionalFormatting sqref="U61:AG61">
    <cfRule type="expression" dxfId="2" priority="3">
      <formula>U61&gt;T61</formula>
    </cfRule>
  </conditionalFormatting>
  <conditionalFormatting sqref="D62:AG62">
    <cfRule type="expression" dxfId="1" priority="2">
      <formula>D62&gt;C62</formula>
    </cfRule>
  </conditionalFormatting>
  <conditionalFormatting sqref="D63:AG63">
    <cfRule type="expression" dxfId="0" priority="1">
      <formula>D63&gt;C63</formula>
    </cfRule>
  </conditionalFormatting>
  <pageMargins left="0.7" right="0.7" top="0.75" bottom="0.75" header="0.3" footer="0.3"/>
  <pageSetup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Analysis"/>
  <dimension ref="A1:W10"/>
  <sheetViews>
    <sheetView zoomScale="95" workbookViewId="0"/>
  </sheetViews>
  <sheetFormatPr defaultColWidth="8.85546875" defaultRowHeight="15" x14ac:dyDescent="0.25"/>
  <sheetData>
    <row r="1" spans="1:23" x14ac:dyDescent="0.25">
      <c r="A1" t="s">
        <v>48</v>
      </c>
    </row>
    <row r="2" spans="1:23" x14ac:dyDescent="0.25">
      <c r="A2" t="s">
        <v>52</v>
      </c>
      <c r="B2" t="s">
        <v>21</v>
      </c>
    </row>
    <row r="3" spans="1:23" x14ac:dyDescent="0.25">
      <c r="A3" t="s">
        <v>49</v>
      </c>
      <c r="B3" t="s">
        <v>53</v>
      </c>
    </row>
    <row r="4" spans="1:23" x14ac:dyDescent="0.25">
      <c r="A4" t="s">
        <v>50</v>
      </c>
      <c r="B4" t="s">
        <v>12</v>
      </c>
    </row>
    <row r="6" spans="1:23" x14ac:dyDescent="0.25">
      <c r="B6" s="17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</row>
    <row r="7" spans="1:23" x14ac:dyDescent="0.25">
      <c r="B7" s="17"/>
    </row>
    <row r="8" spans="1:23" x14ac:dyDescent="0.25">
      <c r="B8" s="17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</row>
    <row r="9" spans="1:23" x14ac:dyDescent="0.25">
      <c r="B9" s="17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</row>
    <row r="10" spans="1:23" x14ac:dyDescent="0.25">
      <c r="B10" s="17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</row>
  </sheetData>
  <pageMargins left="0.7" right="0.7" top="0.75" bottom="0.75" header="0.3" footer="0.3"/>
  <pageSetup orientation="portrait" horizontalDpi="4294967292" verticalDpi="429496729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4"/>
  <sheetViews>
    <sheetView workbookViewId="0">
      <selection activeCell="A6" sqref="A6"/>
    </sheetView>
  </sheetViews>
  <sheetFormatPr defaultColWidth="11.42578125" defaultRowHeight="15" x14ac:dyDescent="0.25"/>
  <sheetData>
    <row r="1" spans="1:2" x14ac:dyDescent="0.25">
      <c r="A1" t="s">
        <v>48</v>
      </c>
    </row>
    <row r="2" spans="1:2" x14ac:dyDescent="0.25">
      <c r="A2" t="s">
        <v>52</v>
      </c>
      <c r="B2" t="s">
        <v>21</v>
      </c>
    </row>
    <row r="3" spans="1:2" x14ac:dyDescent="0.25">
      <c r="A3" t="s">
        <v>49</v>
      </c>
      <c r="B3" t="s">
        <v>53</v>
      </c>
    </row>
    <row r="4" spans="1:2" x14ac:dyDescent="0.25">
      <c r="A4" t="s">
        <v>50</v>
      </c>
      <c r="B4" t="s">
        <v>12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Suppliers and Pricing</vt:lpstr>
      <vt:lpstr>Sales</vt:lpstr>
      <vt:lpstr>Inventory</vt:lpstr>
      <vt:lpstr>Analysis</vt:lpstr>
      <vt:lpstr>Compare Supplier Prices</vt:lpstr>
    </vt:vector>
  </TitlesOfParts>
  <Company>Loyola University Chicago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2017-11-01T17:07:09Z</dcterms:created>
  <dcterms:modified xsi:type="dcterms:W3CDTF">2017-12-06T21:21:24Z</dcterms:modified>
</cp:coreProperties>
</file>